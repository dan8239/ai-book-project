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46C6A0D5-43DA-D64F-9333-3AC93896EEA2}" xr6:coauthVersionLast="47" xr6:coauthVersionMax="47" xr10:uidLastSave="{00000000-0000-0000-0000-000000000000}"/>
  <bookViews>
    <workbookView xWindow="0" yWindow="780" windowWidth="32760" windowHeight="21360" xr2:uid="{00000000-000D-0000-FFFF-FFFF00000000}"/>
  </bookViews>
  <sheets>
    <sheet name="outline_v2" sheetId="1" r:id="rId1"/>
    <sheet name="food tabl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 l="1"/>
  <c r="E27" i="1"/>
  <c r="E26" i="1"/>
  <c r="E25" i="1"/>
  <c r="E24" i="1"/>
  <c r="E23" i="1"/>
  <c r="E22" i="1"/>
  <c r="E21" i="1"/>
  <c r="E20" i="1"/>
  <c r="E19" i="1"/>
  <c r="E18" i="1"/>
  <c r="E17" i="1"/>
  <c r="E16" i="1"/>
  <c r="E15" i="1"/>
  <c r="E14" i="1"/>
  <c r="E13" i="1"/>
  <c r="E12" i="1"/>
  <c r="E11" i="1"/>
  <c r="E10" i="1"/>
  <c r="E9" i="1"/>
  <c r="E8" i="1"/>
  <c r="E7" i="1"/>
  <c r="E6" i="1"/>
  <c r="E5" i="1"/>
  <c r="E4" i="1"/>
  <c r="E3" i="1"/>
  <c r="F1" i="1"/>
</calcChain>
</file>

<file path=xl/sharedStrings.xml><?xml version="1.0" encoding="utf-8"?>
<sst xmlns="http://schemas.openxmlformats.org/spreadsheetml/2006/main" count="589" uniqueCount="357">
  <si>
    <t>Beat</t>
  </si>
  <si>
    <t>Chapter</t>
  </si>
  <si>
    <t>Act</t>
  </si>
  <si>
    <t>Story Circle</t>
  </si>
  <si>
    <t>chapter</t>
  </si>
  <si>
    <t>words</t>
  </si>
  <si>
    <t>Purpose</t>
  </si>
  <si>
    <t>Goals / Questions to Answer</t>
  </si>
  <si>
    <t>Answer Key</t>
  </si>
  <si>
    <t>Setting</t>
  </si>
  <si>
    <t>Plot</t>
  </si>
  <si>
    <t>World</t>
  </si>
  <si>
    <t>World: Nested-sim / Metaverse</t>
  </si>
  <si>
    <t>World: CRISPR / Gene Editing</t>
  </si>
  <si>
    <t>World: Space Colonization</t>
  </si>
  <si>
    <t>World: Governance / Culling</t>
  </si>
  <si>
    <t>World: Glenn / AI-Takeover</t>
  </si>
  <si>
    <t>Notes</t>
  </si>
  <si>
    <t>Prologue</t>
  </si>
  <si>
    <t>Project ___</t>
  </si>
  <si>
    <t>—</t>
  </si>
  <si>
    <t>Establish real world stakes and tone</t>
  </si>
  <si>
    <t>What's happening in the real world? What's the ominous setup?</t>
  </si>
  <si>
    <t>Corporations have taken over the world. They're putting AI in charge</t>
  </si>
  <si>
    <t>ranch</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</si>
  <si>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</si>
  <si>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world setup</t>
  </si>
  <si>
    <t>Honeycomb takeover. Digital implants. Coup drops 4 people at the table dead at that stage. Make it obvious these are agents doing the work. They aren't as advanced yet.</t>
  </si>
  <si>
    <t>Honeycomb takeover. Digital implants. Coup drops 4 people at the table dead at that stage.</t>
  </si>
  <si>
    <t>Make it obvious these are agents doing the work. They aren't as advanced yet.</t>
  </si>
  <si>
    <t>Opening Image</t>
  </si>
  <si>
    <t>Work From Home</t>
  </si>
  <si>
    <t>1</t>
  </si>
  <si>
    <t>YOU (comfort)</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</si>
  <si>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</si>
  <si>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</si>
  <si>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</si>
  <si>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Clouds / Sam's Home</t>
  </si>
  <si>
    <t>Goes into the clouds for work. Show him in his comfort zone. Show the technological progress. AI Agents. His problem set. His competence. So the scene opens on him deep in the work, clearly good at it, clearly engaged. The AI colleague is riffing with him.       
  They're in flow. Then something breaks the spell — a kid yelling, a door slamming, Ramona's footsteps. He looks at the clock 
  and it's three hours later than he thought. The reader gets competence, AI, the food problem, AND the domestic cost in one   
  scene without anyone saying "he was bored" or "he was rich."                                                                 
  The hook isn't his situation. It's the gap between what he's doing and what he should be doing. The reader recognizes that   
  person.                                                    
He hears banging throughout the simulation. It's his wife at his office door. Oh shit he's late, drops out to go home. He missed dinner, kids are running around, wife is overwhelmed. It's already bedtime.
Ramona is pregnant with 3rd (taboo). She wants him present for this phase. Sam's choice: legacy vs. presence. NOT money — they're set. The job is pure ego.</t>
  </si>
  <si>
    <t>wife is pregnant, he's retired</t>
  </si>
  <si>
    <t>Set up Cloud. The food chain is doomed. Optimization wizard. AI are real parts of this
Small quarters. Ultra high tech kids using AI. Mars colonized or starting to be. Food rationing. Universal basic income. 3rd kid limits</t>
  </si>
  <si>
    <t>Set up Cloud. AI are real parts of this. Ultra high tech kids using AI.</t>
  </si>
  <si>
    <t>Mars colonized or starting to be.</t>
  </si>
  <si>
    <t>The food chain is doomed. Food rationing. Universal basic income. 3rd kid limits</t>
  </si>
  <si>
    <t>Set Up</t>
  </si>
  <si>
    <t>Unretirement</t>
  </si>
  <si>
    <t>NEED (desire)</t>
  </si>
  <si>
    <t xml:space="preserve">
Jolt to the status quo</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</si>
  <si>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</si>
  <si>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</si>
  <si>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Sam's home</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</si>
  <si>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</si>
  <si>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Deprecated humans (luddites, amish). Sam has been floating Tina and family. Need to show the legacy vs. posthuman dynamic somehow</t>
  </si>
  <si>
    <t>Deprecated humans (luddites, amish). Need to show the legacy vs. posthuman dynamic somehow</t>
  </si>
  <si>
    <t>Break into Two</t>
  </si>
  <si>
    <t>Space Onboarding</t>
  </si>
  <si>
    <t>GO (unfamiliar)</t>
  </si>
  <si>
    <t>Crosses threshold. No going back.</t>
  </si>
  <si>
    <t>What choice does he make? What world does he enter?</t>
  </si>
  <si>
    <t>He takes the job. He believes he has a higher calling</t>
  </si>
  <si>
    <t>Clouds. Quant Spaceship Demo Lab</t>
  </si>
  <si>
    <t>Accepts colonization job. Enters new world of stakes, resources, compute power. He's chasing legacy now. Glenn (Driver for colonization) walks him through his new world</t>
  </si>
  <si>
    <t>We have the tech to colonize other worlds. Scale of the problem gets bigger</t>
  </si>
  <si>
    <t>B Story</t>
  </si>
  <si>
    <t>Cats and Rats</t>
  </si>
  <si>
    <t>2A</t>
  </si>
  <si>
    <t>SEARCH (adapt)</t>
  </si>
  <si>
    <t>Relationship that carries theme</t>
  </si>
  <si>
    <t>Who represents the truth Sam needs to learn? What relationship pressures the main plot?</t>
  </si>
  <si>
    <t>Ramona. She wants him home more, she wants him present more. He's ignoring her.</t>
  </si>
  <si>
    <t>School. Sam is late</t>
  </si>
  <si>
    <t>Sam is late to his kids' thing. He views the whole thing as natural selection, get's work idea to just monte carlo it basically. Kids idolize him. Wife is still supportive but starting to get annoyed. She asks if he'll go visit his sister. Initial refusal</t>
  </si>
  <si>
    <t>cracks in the façade</t>
  </si>
  <si>
    <t>Kid's education is wild and extremely tech heavy.</t>
  </si>
  <si>
    <t>Fun and Games</t>
  </si>
  <si>
    <t>Space Progress</t>
  </si>
  <si>
    <t>Promise of the premise. The cool stuff.</t>
  </si>
  <si>
    <t>What did we come to see? Sam being competent. Technical problem-solving. AI craziness.</t>
  </si>
  <si>
    <t>Exoplanets, Simulation Software (zoom in, zoom out. Granularity optimized for zoom level). He's solved one issue but it creates another (DNA?)</t>
  </si>
  <si>
    <t>Clouds. Working the problem</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</si>
  <si>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</si>
  <si>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mystery unfolding. Genetic wall</t>
  </si>
  <si>
    <t>It's worse than we thought. Humanity is doomed</t>
  </si>
  <si>
    <t>Birthday Dinner</t>
  </si>
  <si>
    <t>How is his choice changing the dynamic?</t>
  </si>
  <si>
    <t>He's starting to be even less present. His wife got him a thoughtful gift and he's still elsewhere</t>
  </si>
  <si>
    <t>Out to dinner</t>
  </si>
  <si>
    <t>They made him something special. Japanese spider crab. A memory map. Places they will go. Wife says something about Tina that starts to distract him, he agrees to go to the journey. He loses the conversation. She makes a pass at him and he denies, logs back on
Aquarium scene here perhaps? Could possibly lose it altogether</t>
  </si>
  <si>
    <t>More cracks, but legacy humans might have the answer</t>
  </si>
  <si>
    <t>Gondola</t>
  </si>
  <si>
    <t>Journey to the mountain</t>
  </si>
  <si>
    <t>What is the status of this world? What does Ramona explain?</t>
  </si>
  <si>
    <t>Earth is dying. More proof how bad it has gotten</t>
  </si>
  <si>
    <t>Gondola ride up. Desert mountain in BC. Ramona's geology expertise — rock strata as snapshots in time. Skiing memory (they don't really know what it was). Ramona briefs Sam on rules.</t>
  </si>
  <si>
    <t>He's present with his wife</t>
  </si>
  <si>
    <t>canada is a desert</t>
  </si>
  <si>
    <t>Mountain</t>
  </si>
  <si>
    <t>First leg of journey to legacy humans</t>
  </si>
  <si>
    <t>How have they managed to hide all this time?</t>
  </si>
  <si>
    <t>They're in the mountain</t>
  </si>
  <si>
    <t>Mountain Hike</t>
  </si>
  <si>
    <t>Trailhead, automated guide. Rossland mining history. The Boring Machine. Eye of the Needle entrance. Ramona's Christian background, teasing exchange.</t>
  </si>
  <si>
    <t>He's surrendering to her lead</t>
  </si>
  <si>
    <t>Contact</t>
  </si>
  <si>
    <t>Meeting legacy humans</t>
  </si>
  <si>
    <t>What's the deal? What does Sam see?</t>
  </si>
  <si>
    <t>The mountain has an energy crisis. It's symbolism for our current energy pressures / living in a closed system. Sam will trade optimizing their shit for DNA</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</si>
  <si>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</si>
  <si>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Now he knows how to get what he needs</t>
  </si>
  <si>
    <t xml:space="preserve">Legacy humans are everywhere. They will die out without help though. </t>
  </si>
  <si>
    <t>Legacy humans are everywhere.</t>
  </si>
  <si>
    <t>They will die out without help though.</t>
  </si>
  <si>
    <t>Coffee Guy Interlude</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</si>
  <si>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</si>
  <si>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</si>
  <si>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</si>
  <si>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</si>
  <si>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This unknown man is pulling the strings on this project. What the fuck you mean he took a day off?</t>
  </si>
  <si>
    <t>Ominous surveillance, increase mystery</t>
  </si>
  <si>
    <t>Space Still Stuck</t>
  </si>
  <si>
    <t>Fun and games</t>
  </si>
  <si>
    <t>What obstacles does he actually have here?</t>
  </si>
  <si>
    <t xml:space="preserve">He can't do his job. He needs to be at the mountain. Glenn knows about Ramona and Tina. This isn't a colonization project. It's an abandonment project. </t>
  </si>
  <si>
    <t>Clouds. Working the problem more</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</si>
  <si>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</si>
  <si>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Pressure hitting project. He's not a hero, he's giving up on earth. Stakes raised, could expose mountain</t>
  </si>
  <si>
    <t>Mountain Optimization</t>
  </si>
  <si>
    <t>Sam's second visit. Models challenged.</t>
  </si>
  <si>
    <t>What does Sam learn? How do his assumptions fail?</t>
  </si>
  <si>
    <t>He learns that models / computers are still imperfect. He can't blindly trust the technology.</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</si>
  <si>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</si>
  <si>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His top-down model failed. Ground truth broke it. He fixes it by walking the
   system. This plants the seed for his colonization breakthrough AND the heist — same principle, bigger stakes.</t>
  </si>
  <si>
    <t>Tina's visit</t>
  </si>
  <si>
    <t>Wife Falling Out</t>
  </si>
  <si>
    <t>What did your choice cost you?</t>
  </si>
  <si>
    <t>His family / marriage</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</si>
  <si>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</si>
  <si>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</si>
  <si>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He's no longer welcome at the mountain. His wife now hates him</t>
  </si>
  <si>
    <t>Coffee Guy Intro</t>
  </si>
  <si>
    <t>Memory anomaly</t>
  </si>
  <si>
    <t>Who is getting this bill?</t>
  </si>
  <si>
    <t>It's Grant Melrose</t>
  </si>
  <si>
    <t>Coffee shop.</t>
  </si>
  <si>
    <t>The usage is getting high enough that he's having an issue with the bills. But Glenn reveals the progress. Wrap up the epoch and rewards, update the policy. Compress and store what is needed to get the next epoch ready for the date</t>
  </si>
  <si>
    <t>Connection further clarified, drop very heavy clues</t>
  </si>
  <si>
    <t>Midpoint</t>
  </si>
  <si>
    <t>Space Victory</t>
  </si>
  <si>
    <t>FIND (get desire)</t>
  </si>
  <si>
    <t>He finally figures it out</t>
  </si>
  <si>
    <t>What's the payoff? How did he solve it?</t>
  </si>
  <si>
    <t>Lab (clouds, physical manifestation of the humans)</t>
  </si>
  <si>
    <t>systems approach: protein → pathway → cell → tissue → organ → organism. He merged top-down
   population sim with bottoms-up biological modeling. The mountain taught him how.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</si>
  <si>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Finally he solves the colonization</t>
  </si>
  <si>
    <t>None of it matters</t>
  </si>
  <si>
    <t>Devastating truth. Stakes raised.</t>
  </si>
  <si>
    <t>What does Sam GET that changes everything?</t>
  </si>
  <si>
    <t>He has it. This is his career achievement. His name will live on. However, this isn't just an abandonmentt, It actually is even worse than that, nobody will ever even know your name. You're simulation #CA14-0f48- etc..</t>
  </si>
  <si>
    <t>Clouds. Glenn</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</si>
  <si>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</si>
  <si>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He solved it but it didn't matter</t>
  </si>
  <si>
    <t>Bad Guys Close In</t>
  </si>
  <si>
    <t>the other simulations</t>
  </si>
  <si>
    <t>2B</t>
  </si>
  <si>
    <t>TAKE (pay price)</t>
  </si>
  <si>
    <t>Glenn explains everything</t>
  </si>
  <si>
    <t>What does Sam learn about his reality?</t>
  </si>
  <si>
    <t>The purpose of his existence is to refine the policy prior to Quant's project takeover. He's shaping the governing AGI to maximize human's survival chances. But not him, he's just a machine</t>
  </si>
  <si>
    <t>Reveals the purpose and how deep the simulation goes truth. Glenn's 'I'm not a god' monologue. Shows Sam brother simulations — parallel trials with similar genetics. The weird shit Glenn's tried (made a guy immortal, still screaming). Glenn gives one breakpoint as cruel gift.</t>
  </si>
  <si>
    <t>He's in a simulation, and it's irrefutable. He's not special, Glenn is why you mattered</t>
  </si>
  <si>
    <t>All is Lost</t>
  </si>
  <si>
    <t>End of an Epoch / Compression</t>
  </si>
  <si>
    <t>Resistance increases. Doubt. Pressure internal and external.</t>
  </si>
  <si>
    <t>How does it get worse? What's closing in?</t>
  </si>
  <si>
    <t>Not only are you a simulation, you're one of thousands. The expense is unbelievable. We're turning you off</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</si>
  <si>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</si>
  <si>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His world is going to turn off</t>
  </si>
  <si>
    <t>Dark Night of Soul</t>
  </si>
  <si>
    <t>Rock Bottom</t>
  </si>
  <si>
    <t>Rock bottom. Face the darkness.</t>
  </si>
  <si>
    <t>What does Sam sit with? What does he finally face?</t>
  </si>
  <si>
    <t>He finally realizes that he wants to spend his time with his family, even if it's going to end next week. Money doesn't matter. Legacy doesn't matter.</t>
  </si>
  <si>
    <t>Home</t>
  </si>
  <si>
    <t>All alone. Fucked. Reliving memories w/ the memory map. Remembers a place they used to go together. When he goes there she's already there</t>
  </si>
  <si>
    <t>His family left him</t>
  </si>
  <si>
    <t>Break into Three</t>
  </si>
  <si>
    <t>Reunion. A plan</t>
  </si>
  <si>
    <t>3</t>
  </si>
  <si>
    <t>RETURN</t>
  </si>
  <si>
    <t>New insight. Another path forward.</t>
  </si>
  <si>
    <t>What does Sam realize? How does B story unlock the answer?</t>
  </si>
  <si>
    <t>Robots have blind spots too</t>
  </si>
  <si>
    <t>Sam &amp; Ramona's special place</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</si>
  <si>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 Robots have blind spots too" becomes: "Top-down systems can't see ground-level truth. Glenn  
  has the same weakness Sam's model had. Tina is the ground truth.</t>
  </si>
  <si>
    <t>His wife gives him the path forward. They reconcile</t>
  </si>
  <si>
    <t>Finale</t>
  </si>
  <si>
    <t>Heist Plot</t>
  </si>
  <si>
    <t>The heist deal</t>
  </si>
  <si>
    <t>What does Sam trade? What does Tina provide?</t>
  </si>
  <si>
    <t>He gives them everything. He's purchasing a data center and putting it within reach of the mountain. He'll be able to launder any amount of power for them through it.</t>
  </si>
  <si>
    <t>Final deal: 'Everything. All my credits. All royalties. You get it all.' In exchange: Tina's help. She's the blind spot — identical DNA to Ramona, invisible to Glenn's model.</t>
  </si>
  <si>
    <t>Tina is in, begrudgingly. It's quid pro quo. She still hates him</t>
  </si>
  <si>
    <t>Heist</t>
  </si>
  <si>
    <t>Resolution. Apply what's learned. Final confrontation.</t>
  </si>
  <si>
    <t>How does Sam use what he's learned? Does he succeed?</t>
  </si>
  <si>
    <t>Models are just that. Humans can still beat robots. Choosing his family is actually correct</t>
  </si>
  <si>
    <t>Prisoner's dilemma / twin heist</t>
  </si>
  <si>
    <t xml:space="preserve">The heist. Memory spike triggers Glenn. Breakpoint used. Tina as out-of-sample variable breaks Glenn's model. AI assistant takeover. </t>
  </si>
  <si>
    <t>Glenn is defeated, Maya takes over</t>
  </si>
  <si>
    <t>Heist Approval</t>
  </si>
  <si>
    <t>Final payoff</t>
  </si>
  <si>
    <t>How does he break the global scope issue</t>
  </si>
  <si>
    <t>Coffee guy shop, end of the day</t>
  </si>
  <si>
    <t>Coffee Guy approves routine-looking task list. Simulation copied to hidden server. He wraps up and tells Maya to summarize the work, generate the white paper, presentation, and suggested script for his review by 430AM</t>
  </si>
  <si>
    <t>The memory is copied over, it worked</t>
  </si>
  <si>
    <t>Final Image</t>
  </si>
  <si>
    <t>Aquarium 2</t>
  </si>
  <si>
    <t>CHANGE</t>
  </si>
  <si>
    <t>Mirror/opposite of opening. Shows transformation.</t>
  </si>
  <si>
    <t>How is it same but different?</t>
  </si>
  <si>
    <t>He's not sure if he's even real. He knows he doesn't matter now. It doesn't matter, he just wants to be home
He's present with his kids. He's all in.</t>
  </si>
  <si>
    <t>Press button, walk Home, aquarium</t>
  </si>
  <si>
    <t>Aquarium again. Same scene. But Sam is truly present now. Asks eldest about january_gymrats. Doesn't know if he's the copy or the original. Doesn't care. He's here.</t>
  </si>
  <si>
    <t>He now has perspective. He's saved his family</t>
  </si>
  <si>
    <t>Epilogue</t>
  </si>
  <si>
    <t>Coda</t>
  </si>
  <si>
    <t>Denouement</t>
  </si>
  <si>
    <t>What's the final note?</t>
  </si>
  <si>
    <t>The energy ladder all the way from his server out to the exoplanets</t>
  </si>
  <si>
    <t>Coffee guy callback</t>
  </si>
  <si>
    <t>Data center zoom? Coffee Guy aftermath? TBD</t>
  </si>
  <si>
    <t>Show the scale of where he is, where he fits into the universe, his energy transfers light years later to a particle of heat on the future home of humanity</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</si>
  <si>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</si>
  <si>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</si>
  <si>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</si>
  <si>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</si>
  <si>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</si>
  <si>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</si>
  <si>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</si>
  <si>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</si>
  <si>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</si>
  <si>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</si>
  <si>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</si>
  <si>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</si>
  <si>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</si>
  <si>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</si>
  <si>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</si>
  <si>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4</t>
  </si>
  <si>
    <t>5</t>
  </si>
  <si>
    <t>16</t>
  </si>
  <si>
    <t>Microbes / SCP</t>
  </si>
  <si>
    <t>Yeast / SCP</t>
  </si>
  <si>
    <t>0.75</t>
  </si>
  <si>
    <t>12</t>
  </si>
  <si>
    <t>Cassava / yams</t>
  </si>
  <si>
    <t>0.12</t>
  </si>
  <si>
    <t>10</t>
  </si>
  <si>
    <t>4.333</t>
  </si>
  <si>
    <t>Grains</t>
  </si>
  <si>
    <t>Rice (paddy)</t>
  </si>
  <si>
    <t>0.18</t>
  </si>
  <si>
    <t>3.667</t>
  </si>
  <si>
    <t>Sweet potatoes</t>
  </si>
  <si>
    <t>0.15</t>
  </si>
  <si>
    <t>7</t>
  </si>
  <si>
    <t>Legumes</t>
  </si>
  <si>
    <t>Legumes (lentils/beans)</t>
  </si>
  <si>
    <t>0.3</t>
  </si>
  <si>
    <t>Wheat</t>
  </si>
  <si>
    <t>0.22</t>
  </si>
  <si>
    <t>6</t>
  </si>
  <si>
    <t>Corn</t>
  </si>
  <si>
    <t>0.25</t>
  </si>
  <si>
    <t>2</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</si>
  <si>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</si>
  <si>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</si>
  <si>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</si>
  <si>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</si>
  <si>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</si>
  <si>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</si>
  <si>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</si>
  <si>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</si>
  <si>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</si>
  <si>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</si>
  <si>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</si>
  <si>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</si>
  <si>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</si>
  <si>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</si>
  <si>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</si>
  <si>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</si>
  <si>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</si>
  <si>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</si>
  <si>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</si>
  <si>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</si>
  <si>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</si>
  <si>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</si>
  <si>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</si>
  <si>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</si>
  <si>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</si>
  <si>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</si>
  <si>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</si>
  <si>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</si>
  <si>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</si>
  <si>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</si>
  <si>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</si>
  <si>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</si>
  <si>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</si>
  <si>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</si>
  <si>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</si>
  <si>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</si>
  <si>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</si>
  <si>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</si>
  <si>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</si>
  <si>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</si>
  <si>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</si>
  <si>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</si>
  <si>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</si>
  <si>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</si>
  <si>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</si>
  <si>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</si>
  <si>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</si>
  <si>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</si>
  <si>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</si>
  <si>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 xml:space="preserve">What changed? </t>
  </si>
  <si>
    <t>Therefore, Sam is so bored, and justifies taking another job</t>
  </si>
  <si>
    <t>Therefore, he learns about the colonization program</t>
  </si>
  <si>
    <t>Sam is depressed, and making reckless decisions</t>
  </si>
  <si>
    <t>Therefore, he takes a job out of nowhere without consulting his wife</t>
  </si>
  <si>
    <t>Therefore, but, because A story</t>
  </si>
  <si>
    <t>Therefore, but, because B story</t>
  </si>
  <si>
    <t>Therefore, he's less present for his family and children</t>
  </si>
  <si>
    <t>Therefore, his relationship with his wife deteriorates</t>
  </si>
  <si>
    <t>Therefore, he learns about the colonization project and fully dedicates to it</t>
  </si>
  <si>
    <t>Therefore, he throws ML at it so far he's stretching what it means to be human, but he's stuck</t>
  </si>
  <si>
    <t>Therefore, he finally accepts the trip up to the mountain with Ramona</t>
  </si>
  <si>
    <t>Therefore, she brings Ramona back into their lives</t>
  </si>
  <si>
    <t>Therefore, he makes a trade, data for energy solving</t>
  </si>
  <si>
    <t>Therefore, but present day</t>
  </si>
  <si>
    <t>Therefore, Ramona becomes closer with Tina</t>
  </si>
  <si>
    <t xml:space="preserve">Results aren't really moving here, deadline is here and it's a lot of pressure, </t>
  </si>
  <si>
    <t>Therefore Glenn is putting more pressure on Sam, therefore he's becoming more reckless and pushing further</t>
  </si>
  <si>
    <t>Therefore, he reveals the true nature of the agreement and why he's been coming to the mountain</t>
  </si>
  <si>
    <t>Therefore, his wife feels betrayed and confronts him, something happens that's nearly unforgiveable</t>
  </si>
  <si>
    <t>Results are starting to show promise to the point they can wrap on the rpoject</t>
  </si>
  <si>
    <t xml:space="preserve">He ran 88B instances of human creation in these worlds. He eventually found a viable population of Ne that is stable diversity. </t>
  </si>
  <si>
    <t>He solves the problem, but realizes the mystery of the crispr gene editing. These are the people who killed his whole family</t>
  </si>
  <si>
    <t>Therefore, he confronts Glenn about it, but it's even worse than he thought. He's in a simulation</t>
  </si>
  <si>
    <t>Therefore, his existence is temporal and it doesn't need to continue. He can turn them off once the epoch finishes (put time pressure on)</t>
  </si>
  <si>
    <t>Therefore, he realizes what he's been doing is being done to him. His whole universe is just a trial</t>
  </si>
  <si>
    <t>Therefore, he goes to spend his last few hours with his family</t>
  </si>
  <si>
    <t>Therefore, he and Ramona reconcile and he finally understands. She encourages him and he finds peace</t>
  </si>
  <si>
    <t>Therefore, she gives him the spark needed to make one last chance at saving everything, he brings Tina, Dorothea, Ramona all together</t>
  </si>
  <si>
    <t>Therefore, they finally have the aligned vision and power to defeat glenn</t>
  </si>
  <si>
    <t>He tricks and replaces glenn w/ Dorothea</t>
  </si>
  <si>
    <t>Therefore, Sam has saved their instance, and they're safe</t>
  </si>
  <si>
    <t>Therefore, he now can live as intended, family first, in the mountain</t>
  </si>
  <si>
    <t>Therefore, glenn gets replaced with Dorothea, and he saves their instance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</si>
</sst>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8"/>
  <sheetViews>
    <sheetView tabSelected="1" topLeftCell="D1" zoomScale="150" zoomScaleNormal="150" workbookViewId="0">
      <pane ySplit="2" topLeftCell="A23" activePane="bottomLeft" state="frozen"/>
      <selection pane="bottomLeft" activeCell="L27" sqref="L27"/>
    </sheetView>
  </sheetViews>
  <sheetFormatPr baseColWidth="10" defaultColWidth="40.5" defaultRowHeight="15" x14ac:dyDescent="0.2"/>
  <cols>
    <col min="1" max="1" width="15" style="3" bestFit="1" customWidth="1"/>
    <col min="2" max="2" width="11.6640625" style="3" bestFit="1" customWidth="1"/>
    <col min="3" max="3" width="3.83203125" style="3" bestFit="1" customWidth="1"/>
    <col min="4" max="4" width="13.83203125" style="3" bestFit="1" customWidth="1"/>
    <col min="5" max="5" width="7.1640625" style="3" bestFit="1" customWidth="1"/>
    <col min="6" max="6" width="6" style="3" bestFit="1" customWidth="1"/>
    <col min="7" max="7" width="18.5" style="3" customWidth="1"/>
    <col min="8" max="8" width="18" style="3" customWidth="1"/>
    <col min="9" max="12" width="27.33203125" style="3" customWidth="1"/>
    <col min="13" max="13" width="24.33203125" style="3" customWidth="1"/>
    <col min="14" max="14" width="31.33203125" style="3" customWidth="1"/>
    <col min="15" max="15" width="64.1640625" style="3" customWidth="1"/>
    <col min="16" max="18" width="40.5" style="3" customWidth="1"/>
    <col min="19" max="21" width="40.5" customWidth="1"/>
    <col min="22" max="16384" width="40.5" style="3"/>
  </cols>
  <sheetData>
    <row r="1" spans="1:22" x14ac:dyDescent="0.2">
      <c r="F1" s="3">
        <f>SUM(F3:F176)</f>
        <v>8791</v>
      </c>
    </row>
    <row r="2" spans="1:22" ht="16" customHeight="1" x14ac:dyDescent="0.2">
      <c r="A2" s="2" t="s">
        <v>0</v>
      </c>
      <c r="B2" s="2" t="s">
        <v>1</v>
      </c>
      <c r="C2" s="2" t="s">
        <v>2</v>
      </c>
      <c r="D2" s="2" t="s">
        <v>3</v>
      </c>
      <c r="E2" s="2" t="s">
        <v>4</v>
      </c>
      <c r="F2" s="2" t="s">
        <v>5</v>
      </c>
      <c r="G2" s="2" t="s">
        <v>6</v>
      </c>
      <c r="H2" s="2" t="s">
        <v>7</v>
      </c>
      <c r="I2" s="2" t="s">
        <v>8</v>
      </c>
      <c r="J2" s="2" t="s">
        <v>328</v>
      </c>
      <c r="K2" s="2" t="s">
        <v>329</v>
      </c>
      <c r="L2" s="2" t="s">
        <v>337</v>
      </c>
      <c r="M2" s="2" t="s">
        <v>323</v>
      </c>
      <c r="N2" s="2" t="s">
        <v>9</v>
      </c>
      <c r="O2" s="2" t="s">
        <v>10</v>
      </c>
      <c r="P2" s="2" t="s">
        <v>11</v>
      </c>
      <c r="Q2" s="2" t="s">
        <v>12</v>
      </c>
      <c r="R2" s="2" t="s">
        <v>13</v>
      </c>
      <c r="S2" s="2" t="s">
        <v>14</v>
      </c>
      <c r="T2" s="2" t="s">
        <v>15</v>
      </c>
      <c r="U2" s="2" t="s">
        <v>16</v>
      </c>
      <c r="V2" s="2" t="s">
        <v>17</v>
      </c>
    </row>
    <row r="3" spans="1:22" ht="80" customHeight="1" x14ac:dyDescent="0.2">
      <c r="A3" s="3" t="s">
        <v>18</v>
      </c>
      <c r="B3" s="3" t="s">
        <v>19</v>
      </c>
      <c r="C3" s="3" t="s">
        <v>20</v>
      </c>
      <c r="D3" s="3" t="s">
        <v>20</v>
      </c>
      <c r="E3" s="3" t="str">
        <f t="shared" ref="E3:E28" si="0">DEC2HEX((ROW()-2))</f>
        <v>1</v>
      </c>
      <c r="F3" s="3">
        <v>3713</v>
      </c>
      <c r="G3" s="3" t="s">
        <v>21</v>
      </c>
      <c r="H3" s="3" t="s">
        <v>22</v>
      </c>
      <c r="I3" s="3" t="s">
        <v>23</v>
      </c>
      <c r="M3" s="3" t="s">
        <v>26</v>
      </c>
      <c r="N3" s="3" t="s">
        <v>24</v>
      </c>
      <c r="O3" s="3" t="s">
        <v>25</v>
      </c>
      <c r="P3" s="3" t="s">
        <v>27</v>
      </c>
      <c r="T3" t="s">
        <v>28</v>
      </c>
      <c r="U3" t="s">
        <v>29</v>
      </c>
    </row>
    <row r="4" spans="1:22" ht="320" customHeight="1" x14ac:dyDescent="0.2">
      <c r="A4" s="3" t="s">
        <v>30</v>
      </c>
      <c r="B4" s="3" t="s">
        <v>31</v>
      </c>
      <c r="C4" s="3" t="s">
        <v>32</v>
      </c>
      <c r="D4" s="3" t="s">
        <v>33</v>
      </c>
      <c r="E4" s="3" t="str">
        <f t="shared" si="0"/>
        <v>2</v>
      </c>
      <c r="G4" s="3" t="s">
        <v>34</v>
      </c>
      <c r="H4" s="3" t="s">
        <v>35</v>
      </c>
      <c r="I4" s="3" t="s">
        <v>36</v>
      </c>
      <c r="J4" s="3" t="s">
        <v>326</v>
      </c>
      <c r="M4" s="3" t="s">
        <v>39</v>
      </c>
      <c r="N4" s="3" t="s">
        <v>37</v>
      </c>
      <c r="O4" s="3" t="s">
        <v>38</v>
      </c>
      <c r="P4" s="3" t="s">
        <v>40</v>
      </c>
      <c r="Q4" t="s">
        <v>41</v>
      </c>
      <c r="S4" t="s">
        <v>42</v>
      </c>
      <c r="T4" t="s">
        <v>43</v>
      </c>
    </row>
    <row r="5" spans="1:22" ht="192" customHeight="1" x14ac:dyDescent="0.2">
      <c r="A5" s="3" t="s">
        <v>44</v>
      </c>
      <c r="B5" s="3" t="s">
        <v>45</v>
      </c>
      <c r="C5" s="3" t="s">
        <v>32</v>
      </c>
      <c r="D5" s="3" t="s">
        <v>46</v>
      </c>
      <c r="E5" s="3" t="str">
        <f t="shared" si="0"/>
        <v>3</v>
      </c>
      <c r="F5" s="4"/>
      <c r="G5" s="3" t="s">
        <v>47</v>
      </c>
      <c r="H5" s="3" t="s">
        <v>48</v>
      </c>
      <c r="I5" s="3" t="s">
        <v>49</v>
      </c>
      <c r="J5" s="3" t="s">
        <v>327</v>
      </c>
      <c r="M5" s="3" t="s">
        <v>324</v>
      </c>
      <c r="N5" s="3" t="s">
        <v>50</v>
      </c>
      <c r="O5" s="3" t="s">
        <v>51</v>
      </c>
      <c r="P5" s="3" t="s">
        <v>52</v>
      </c>
      <c r="T5" t="s">
        <v>53</v>
      </c>
    </row>
    <row r="6" spans="1:22" ht="48" customHeight="1" x14ac:dyDescent="0.2">
      <c r="A6" s="3" t="s">
        <v>54</v>
      </c>
      <c r="B6" s="3" t="s">
        <v>55</v>
      </c>
      <c r="C6" s="3" t="s">
        <v>32</v>
      </c>
      <c r="D6" s="3" t="s">
        <v>56</v>
      </c>
      <c r="E6" s="3" t="str">
        <f t="shared" si="0"/>
        <v>4</v>
      </c>
      <c r="G6" s="3" t="s">
        <v>57</v>
      </c>
      <c r="H6" s="3" t="s">
        <v>58</v>
      </c>
      <c r="I6" s="3" t="s">
        <v>59</v>
      </c>
      <c r="J6" s="3" t="s">
        <v>332</v>
      </c>
      <c r="M6" s="3" t="s">
        <v>325</v>
      </c>
      <c r="N6" s="3" t="s">
        <v>60</v>
      </c>
      <c r="O6" s="3" t="s">
        <v>61</v>
      </c>
      <c r="P6" s="3" t="s">
        <v>62</v>
      </c>
      <c r="S6" t="s">
        <v>62</v>
      </c>
    </row>
    <row r="7" spans="1:22" ht="48" customHeight="1" x14ac:dyDescent="0.2">
      <c r="A7" s="3" t="s">
        <v>63</v>
      </c>
      <c r="B7" s="3" t="s">
        <v>64</v>
      </c>
      <c r="C7" s="3" t="s">
        <v>65</v>
      </c>
      <c r="D7" s="3" t="s">
        <v>66</v>
      </c>
      <c r="E7" s="3" t="str">
        <f t="shared" si="0"/>
        <v>5</v>
      </c>
      <c r="G7" s="3" t="s">
        <v>67</v>
      </c>
      <c r="H7" s="3" t="s">
        <v>68</v>
      </c>
      <c r="I7" s="3" t="s">
        <v>69</v>
      </c>
      <c r="K7" s="3" t="s">
        <v>330</v>
      </c>
      <c r="M7" s="3" t="s">
        <v>72</v>
      </c>
      <c r="N7" s="3" t="s">
        <v>70</v>
      </c>
      <c r="O7" s="3" t="s">
        <v>71</v>
      </c>
      <c r="P7" s="3" t="s">
        <v>73</v>
      </c>
      <c r="Q7" t="s">
        <v>73</v>
      </c>
    </row>
    <row r="8" spans="1:22" ht="80" customHeight="1" x14ac:dyDescent="0.2">
      <c r="A8" s="3" t="s">
        <v>74</v>
      </c>
      <c r="B8" s="3" t="s">
        <v>75</v>
      </c>
      <c r="C8" s="3" t="s">
        <v>65</v>
      </c>
      <c r="D8" s="3" t="s">
        <v>66</v>
      </c>
      <c r="E8" s="3" t="str">
        <f t="shared" si="0"/>
        <v>6</v>
      </c>
      <c r="F8" s="4"/>
      <c r="G8" s="3" t="s">
        <v>76</v>
      </c>
      <c r="H8" s="3" t="s">
        <v>77</v>
      </c>
      <c r="I8" s="3" t="s">
        <v>78</v>
      </c>
      <c r="J8" s="3" t="s">
        <v>333</v>
      </c>
      <c r="M8" s="3" t="s">
        <v>81</v>
      </c>
      <c r="N8" s="3" t="s">
        <v>79</v>
      </c>
      <c r="O8" s="3" t="s">
        <v>80</v>
      </c>
      <c r="P8" s="3" t="s">
        <v>82</v>
      </c>
      <c r="S8" t="s">
        <v>82</v>
      </c>
    </row>
    <row r="9" spans="1:22" ht="96" customHeight="1" x14ac:dyDescent="0.2">
      <c r="A9" s="3" t="s">
        <v>74</v>
      </c>
      <c r="B9" s="3" t="s">
        <v>83</v>
      </c>
      <c r="C9" s="3" t="s">
        <v>65</v>
      </c>
      <c r="D9" s="3" t="s">
        <v>66</v>
      </c>
      <c r="E9" s="3" t="str">
        <f t="shared" si="0"/>
        <v>7</v>
      </c>
      <c r="F9" s="4"/>
      <c r="H9" s="3" t="s">
        <v>84</v>
      </c>
      <c r="I9" s="3" t="s">
        <v>85</v>
      </c>
      <c r="K9" s="3" t="s">
        <v>331</v>
      </c>
      <c r="M9" s="3" t="s">
        <v>88</v>
      </c>
      <c r="N9" s="3" t="s">
        <v>86</v>
      </c>
      <c r="O9" s="3" t="s">
        <v>87</v>
      </c>
    </row>
    <row r="10" spans="1:22" ht="48" customHeight="1" x14ac:dyDescent="0.2">
      <c r="A10" s="3" t="s">
        <v>74</v>
      </c>
      <c r="B10" s="3" t="s">
        <v>89</v>
      </c>
      <c r="C10" s="3" t="s">
        <v>65</v>
      </c>
      <c r="D10" s="3" t="s">
        <v>66</v>
      </c>
      <c r="E10" s="3" t="str">
        <f t="shared" si="0"/>
        <v>8</v>
      </c>
      <c r="F10" s="3">
        <v>1680</v>
      </c>
      <c r="G10" s="3" t="s">
        <v>90</v>
      </c>
      <c r="H10" s="3" t="s">
        <v>91</v>
      </c>
      <c r="I10" s="3" t="s">
        <v>92</v>
      </c>
      <c r="J10" s="3" t="s">
        <v>334</v>
      </c>
      <c r="M10" s="3" t="s">
        <v>94</v>
      </c>
      <c r="N10" s="3" t="s">
        <v>89</v>
      </c>
      <c r="O10" s="3" t="s">
        <v>93</v>
      </c>
      <c r="P10" s="3" t="s">
        <v>95</v>
      </c>
    </row>
    <row r="11" spans="1:22" ht="32" customHeight="1" x14ac:dyDescent="0.2">
      <c r="A11" s="3" t="s">
        <v>74</v>
      </c>
      <c r="B11" s="3" t="s">
        <v>96</v>
      </c>
      <c r="C11" s="3" t="s">
        <v>65</v>
      </c>
      <c r="D11" s="3" t="s">
        <v>66</v>
      </c>
      <c r="E11" s="3" t="str">
        <f t="shared" si="0"/>
        <v>9</v>
      </c>
      <c r="F11" s="3">
        <v>1325</v>
      </c>
      <c r="G11" s="3" t="s">
        <v>97</v>
      </c>
      <c r="H11" s="3" t="s">
        <v>98</v>
      </c>
      <c r="I11" s="3" t="s">
        <v>99</v>
      </c>
      <c r="K11" s="3" t="s">
        <v>335</v>
      </c>
      <c r="M11" s="3" t="s">
        <v>102</v>
      </c>
      <c r="N11" s="3" t="s">
        <v>100</v>
      </c>
      <c r="O11" s="3" t="s">
        <v>101</v>
      </c>
    </row>
    <row r="12" spans="1:22" ht="64" customHeight="1" x14ac:dyDescent="0.2">
      <c r="A12" s="3" t="s">
        <v>74</v>
      </c>
      <c r="B12" s="3" t="s">
        <v>103</v>
      </c>
      <c r="C12" s="3" t="s">
        <v>65</v>
      </c>
      <c r="D12" s="3" t="s">
        <v>66</v>
      </c>
      <c r="E12" s="3" t="str">
        <f t="shared" si="0"/>
        <v>A</v>
      </c>
      <c r="F12" s="3">
        <v>2073</v>
      </c>
      <c r="G12" s="3" t="s">
        <v>104</v>
      </c>
      <c r="H12" s="3" t="s">
        <v>105</v>
      </c>
      <c r="I12" s="3" t="s">
        <v>106</v>
      </c>
      <c r="J12" s="3" t="s">
        <v>336</v>
      </c>
      <c r="M12" s="3" t="s">
        <v>108</v>
      </c>
      <c r="N12" s="3" t="s">
        <v>96</v>
      </c>
      <c r="O12" s="3" t="s">
        <v>107</v>
      </c>
      <c r="P12" s="3" t="s">
        <v>109</v>
      </c>
      <c r="S12" t="s">
        <v>110</v>
      </c>
      <c r="T12" t="s">
        <v>111</v>
      </c>
    </row>
    <row r="13" spans="1:22" ht="48" customHeight="1" x14ac:dyDescent="0.2">
      <c r="A13" s="3" t="s">
        <v>74</v>
      </c>
      <c r="B13" s="3" t="s">
        <v>112</v>
      </c>
      <c r="C13" s="3" t="s">
        <v>65</v>
      </c>
      <c r="D13" s="3" t="s">
        <v>66</v>
      </c>
      <c r="E13" s="3" t="str">
        <f t="shared" si="0"/>
        <v>B</v>
      </c>
      <c r="G13" s="3" t="s">
        <v>113</v>
      </c>
      <c r="H13" s="3" t="s">
        <v>114</v>
      </c>
      <c r="I13" s="3" t="s">
        <v>115</v>
      </c>
      <c r="L13" s="3" t="s">
        <v>339</v>
      </c>
      <c r="M13" s="3" t="s">
        <v>118</v>
      </c>
      <c r="N13" s="3" t="s">
        <v>116</v>
      </c>
      <c r="O13" s="3" t="s">
        <v>117</v>
      </c>
    </row>
    <row r="14" spans="1:22" ht="144" customHeight="1" x14ac:dyDescent="0.2">
      <c r="A14" s="3" t="s">
        <v>74</v>
      </c>
      <c r="B14" s="3" t="s">
        <v>119</v>
      </c>
      <c r="C14" s="3" t="s">
        <v>65</v>
      </c>
      <c r="D14" s="3" t="s">
        <v>66</v>
      </c>
      <c r="E14" s="3" t="str">
        <f t="shared" si="0"/>
        <v>C</v>
      </c>
      <c r="F14" s="4"/>
      <c r="G14" s="3" t="s">
        <v>120</v>
      </c>
      <c r="H14" s="3" t="s">
        <v>121</v>
      </c>
      <c r="I14" s="3" t="s">
        <v>122</v>
      </c>
      <c r="J14" s="3" t="s">
        <v>340</v>
      </c>
      <c r="M14" s="3" t="s">
        <v>125</v>
      </c>
      <c r="N14" s="3" t="s">
        <v>123</v>
      </c>
      <c r="O14" s="3" t="s">
        <v>124</v>
      </c>
    </row>
    <row r="15" spans="1:22" ht="96" customHeight="1" x14ac:dyDescent="0.2">
      <c r="A15" s="3" t="s">
        <v>74</v>
      </c>
      <c r="B15" s="3" t="s">
        <v>126</v>
      </c>
      <c r="C15" s="3" t="s">
        <v>65</v>
      </c>
      <c r="D15" s="3" t="s">
        <v>66</v>
      </c>
      <c r="E15" s="3" t="str">
        <f t="shared" si="0"/>
        <v>D</v>
      </c>
      <c r="G15" s="3" t="s">
        <v>127</v>
      </c>
      <c r="H15" s="3" t="s">
        <v>128</v>
      </c>
      <c r="I15" s="3" t="s">
        <v>129</v>
      </c>
      <c r="J15" s="3" t="s">
        <v>341</v>
      </c>
      <c r="K15" s="3" t="s">
        <v>338</v>
      </c>
      <c r="M15" s="3" t="s">
        <v>131</v>
      </c>
      <c r="N15" s="3" t="s">
        <v>96</v>
      </c>
      <c r="O15" s="3" t="s">
        <v>130</v>
      </c>
    </row>
    <row r="16" spans="1:22" ht="96" customHeight="1" x14ac:dyDescent="0.2">
      <c r="A16" s="3" t="s">
        <v>74</v>
      </c>
      <c r="B16" s="3" t="s">
        <v>132</v>
      </c>
      <c r="C16" s="3" t="s">
        <v>65</v>
      </c>
      <c r="D16" s="3" t="s">
        <v>66</v>
      </c>
      <c r="E16" s="3" t="str">
        <f t="shared" si="0"/>
        <v>E</v>
      </c>
      <c r="F16" s="4"/>
      <c r="G16" s="3" t="s">
        <v>133</v>
      </c>
      <c r="H16" s="3" t="s">
        <v>134</v>
      </c>
      <c r="I16" s="3" t="s">
        <v>135</v>
      </c>
      <c r="K16" s="3" t="s">
        <v>342</v>
      </c>
      <c r="M16" s="3" t="s">
        <v>138</v>
      </c>
      <c r="N16" s="3" t="s">
        <v>136</v>
      </c>
      <c r="O16" s="3" t="s">
        <v>137</v>
      </c>
    </row>
    <row r="17" spans="1:15" ht="48" customHeight="1" x14ac:dyDescent="0.2">
      <c r="A17" s="3" t="s">
        <v>74</v>
      </c>
      <c r="B17" s="3" t="s">
        <v>139</v>
      </c>
      <c r="C17" s="3" t="s">
        <v>65</v>
      </c>
      <c r="D17" s="3" t="s">
        <v>66</v>
      </c>
      <c r="E17" s="3" t="str">
        <f t="shared" si="0"/>
        <v>F</v>
      </c>
      <c r="F17" s="4"/>
      <c r="G17" s="3" t="s">
        <v>140</v>
      </c>
      <c r="H17" s="3" t="s">
        <v>141</v>
      </c>
      <c r="I17" s="3" t="s">
        <v>142</v>
      </c>
      <c r="L17" s="3" t="s">
        <v>343</v>
      </c>
      <c r="M17" s="3" t="s">
        <v>145</v>
      </c>
      <c r="N17" s="3" t="s">
        <v>143</v>
      </c>
      <c r="O17" s="3" t="s">
        <v>144</v>
      </c>
    </row>
    <row r="18" spans="1:15" ht="112" customHeight="1" x14ac:dyDescent="0.2">
      <c r="A18" s="3" t="s">
        <v>146</v>
      </c>
      <c r="B18" s="3" t="s">
        <v>147</v>
      </c>
      <c r="C18" s="3" t="s">
        <v>65</v>
      </c>
      <c r="D18" s="3" t="s">
        <v>148</v>
      </c>
      <c r="E18" s="3" t="str">
        <f t="shared" si="0"/>
        <v>10</v>
      </c>
      <c r="F18" s="4"/>
      <c r="G18" s="3" t="s">
        <v>149</v>
      </c>
      <c r="H18" s="3" t="s">
        <v>150</v>
      </c>
      <c r="I18" s="3" t="s">
        <v>344</v>
      </c>
      <c r="J18" s="3" t="s">
        <v>345</v>
      </c>
      <c r="M18" s="3" t="s">
        <v>153</v>
      </c>
      <c r="N18" s="3" t="s">
        <v>151</v>
      </c>
      <c r="O18" s="3" t="s">
        <v>152</v>
      </c>
    </row>
    <row r="19" spans="1:15" ht="80" customHeight="1" x14ac:dyDescent="0.2">
      <c r="A19" s="3" t="s">
        <v>146</v>
      </c>
      <c r="B19" s="3" t="s">
        <v>154</v>
      </c>
      <c r="C19" s="3" t="s">
        <v>65</v>
      </c>
      <c r="D19" s="3" t="s">
        <v>148</v>
      </c>
      <c r="E19" s="3" t="str">
        <f t="shared" si="0"/>
        <v>11</v>
      </c>
      <c r="G19" s="3" t="s">
        <v>155</v>
      </c>
      <c r="H19" s="3" t="s">
        <v>156</v>
      </c>
      <c r="I19" s="3" t="s">
        <v>157</v>
      </c>
      <c r="J19" s="3" t="s">
        <v>346</v>
      </c>
      <c r="M19" s="3" t="s">
        <v>160</v>
      </c>
      <c r="N19" s="3" t="s">
        <v>158</v>
      </c>
      <c r="O19" s="3" t="s">
        <v>159</v>
      </c>
    </row>
    <row r="20" spans="1:15" ht="80" customHeight="1" x14ac:dyDescent="0.2">
      <c r="A20" s="3" t="s">
        <v>161</v>
      </c>
      <c r="B20" s="3" t="s">
        <v>162</v>
      </c>
      <c r="C20" s="3" t="s">
        <v>163</v>
      </c>
      <c r="D20" s="3" t="s">
        <v>164</v>
      </c>
      <c r="E20" s="3" t="str">
        <f t="shared" si="0"/>
        <v>12</v>
      </c>
      <c r="G20" s="3" t="s">
        <v>165</v>
      </c>
      <c r="H20" s="3" t="s">
        <v>166</v>
      </c>
      <c r="I20" s="3" t="s">
        <v>167</v>
      </c>
      <c r="J20" s="3" t="s">
        <v>348</v>
      </c>
      <c r="M20" s="3" t="s">
        <v>169</v>
      </c>
      <c r="N20" s="3" t="s">
        <v>158</v>
      </c>
      <c r="O20" s="3" t="s">
        <v>168</v>
      </c>
    </row>
    <row r="21" spans="1:15" ht="96" customHeight="1" x14ac:dyDescent="0.2">
      <c r="A21" s="3" t="s">
        <v>170</v>
      </c>
      <c r="B21" s="3" t="s">
        <v>171</v>
      </c>
      <c r="C21" s="3" t="s">
        <v>163</v>
      </c>
      <c r="D21" s="3" t="s">
        <v>164</v>
      </c>
      <c r="E21" s="3" t="str">
        <f t="shared" si="0"/>
        <v>13</v>
      </c>
      <c r="G21" s="3" t="s">
        <v>172</v>
      </c>
      <c r="H21" s="3" t="s">
        <v>173</v>
      </c>
      <c r="I21" s="3" t="s">
        <v>174</v>
      </c>
      <c r="J21" s="3" t="s">
        <v>347</v>
      </c>
      <c r="M21" s="3" t="s">
        <v>176</v>
      </c>
      <c r="N21" s="3" t="s">
        <v>158</v>
      </c>
      <c r="O21" s="3" t="s">
        <v>175</v>
      </c>
    </row>
    <row r="22" spans="1:15" ht="64" customHeight="1" x14ac:dyDescent="0.2">
      <c r="A22" s="3" t="s">
        <v>177</v>
      </c>
      <c r="B22" s="3" t="s">
        <v>178</v>
      </c>
      <c r="C22" s="3" t="s">
        <v>163</v>
      </c>
      <c r="D22" s="3" t="s">
        <v>164</v>
      </c>
      <c r="E22" s="3" t="str">
        <f t="shared" si="0"/>
        <v>14</v>
      </c>
      <c r="G22" s="3" t="s">
        <v>179</v>
      </c>
      <c r="H22" s="3" t="s">
        <v>180</v>
      </c>
      <c r="I22" s="3" t="s">
        <v>181</v>
      </c>
      <c r="K22" s="3" t="s">
        <v>349</v>
      </c>
      <c r="M22" s="3" t="s">
        <v>184</v>
      </c>
      <c r="N22" s="3" t="s">
        <v>182</v>
      </c>
      <c r="O22" s="3" t="s">
        <v>183</v>
      </c>
    </row>
    <row r="23" spans="1:15" ht="128" customHeight="1" x14ac:dyDescent="0.2">
      <c r="A23" s="3" t="s">
        <v>185</v>
      </c>
      <c r="B23" s="3" t="s">
        <v>186</v>
      </c>
      <c r="C23" s="3" t="s">
        <v>187</v>
      </c>
      <c r="D23" s="3" t="s">
        <v>188</v>
      </c>
      <c r="E23" s="3" t="str">
        <f t="shared" si="0"/>
        <v>15</v>
      </c>
      <c r="G23" s="3" t="s">
        <v>189</v>
      </c>
      <c r="H23" s="3" t="s">
        <v>190</v>
      </c>
      <c r="I23" s="3" t="s">
        <v>191</v>
      </c>
      <c r="K23" s="3" t="s">
        <v>350</v>
      </c>
      <c r="M23" s="3" t="s">
        <v>194</v>
      </c>
      <c r="N23" s="3" t="s">
        <v>192</v>
      </c>
      <c r="O23" s="3" t="s">
        <v>193</v>
      </c>
    </row>
    <row r="24" spans="1:15" ht="64" customHeight="1" x14ac:dyDescent="0.2">
      <c r="A24" s="3" t="s">
        <v>195</v>
      </c>
      <c r="B24" s="3" t="s">
        <v>196</v>
      </c>
      <c r="C24" s="3" t="s">
        <v>187</v>
      </c>
      <c r="D24" s="3" t="s">
        <v>188</v>
      </c>
      <c r="E24" s="3" t="str">
        <f t="shared" si="0"/>
        <v>16</v>
      </c>
      <c r="G24" s="3" t="s">
        <v>197</v>
      </c>
      <c r="H24" s="3" t="s">
        <v>198</v>
      </c>
      <c r="I24" s="3" t="s">
        <v>199</v>
      </c>
      <c r="J24" s="3" t="s">
        <v>351</v>
      </c>
      <c r="M24" s="3" t="s">
        <v>201</v>
      </c>
      <c r="N24" s="3" t="s">
        <v>96</v>
      </c>
      <c r="O24" s="3" t="s">
        <v>200</v>
      </c>
    </row>
    <row r="25" spans="1:15" ht="32" customHeight="1" x14ac:dyDescent="0.2">
      <c r="A25" s="3" t="s">
        <v>195</v>
      </c>
      <c r="B25" s="3" t="s">
        <v>202</v>
      </c>
      <c r="C25" s="3" t="s">
        <v>187</v>
      </c>
      <c r="D25" s="3" t="s">
        <v>188</v>
      </c>
      <c r="E25" s="3" t="str">
        <f t="shared" si="0"/>
        <v>17</v>
      </c>
      <c r="G25" s="3" t="s">
        <v>203</v>
      </c>
      <c r="H25" s="3" t="s">
        <v>204</v>
      </c>
      <c r="I25" s="3" t="s">
        <v>205</v>
      </c>
      <c r="J25" s="3" t="s">
        <v>352</v>
      </c>
      <c r="M25" s="3" t="s">
        <v>208</v>
      </c>
      <c r="N25" s="3" t="s">
        <v>206</v>
      </c>
      <c r="O25" s="3" t="s">
        <v>207</v>
      </c>
    </row>
    <row r="26" spans="1:15" ht="48" customHeight="1" x14ac:dyDescent="0.2">
      <c r="A26" s="3" t="s">
        <v>195</v>
      </c>
      <c r="B26" s="3" t="s">
        <v>209</v>
      </c>
      <c r="C26" s="3">
        <v>3</v>
      </c>
      <c r="D26" s="3" t="s">
        <v>188</v>
      </c>
      <c r="E26" s="3" t="str">
        <f t="shared" si="0"/>
        <v>18</v>
      </c>
      <c r="F26" s="4"/>
      <c r="G26" s="3" t="s">
        <v>210</v>
      </c>
      <c r="H26" s="3" t="s">
        <v>211</v>
      </c>
      <c r="I26" s="3" t="s">
        <v>353</v>
      </c>
      <c r="J26" s="3" t="s">
        <v>354</v>
      </c>
      <c r="L26" s="3" t="s">
        <v>356</v>
      </c>
      <c r="M26" s="3" t="s">
        <v>214</v>
      </c>
      <c r="N26" s="3" t="s">
        <v>212</v>
      </c>
      <c r="O26" s="3" t="s">
        <v>213</v>
      </c>
    </row>
    <row r="27" spans="1:15" ht="80" customHeight="1" x14ac:dyDescent="0.2">
      <c r="A27" s="3" t="s">
        <v>215</v>
      </c>
      <c r="B27" s="3" t="s">
        <v>216</v>
      </c>
      <c r="C27" s="3" t="s">
        <v>187</v>
      </c>
      <c r="D27" s="3" t="s">
        <v>217</v>
      </c>
      <c r="E27" s="3" t="str">
        <f t="shared" si="0"/>
        <v>19</v>
      </c>
      <c r="G27" s="3" t="s">
        <v>218</v>
      </c>
      <c r="H27" s="3" t="s">
        <v>219</v>
      </c>
      <c r="I27" s="3" t="s">
        <v>220</v>
      </c>
      <c r="J27" s="3" t="s">
        <v>355</v>
      </c>
      <c r="M27" s="3" t="s">
        <v>223</v>
      </c>
      <c r="N27" s="3" t="s">
        <v>221</v>
      </c>
      <c r="O27" s="3" t="s">
        <v>222</v>
      </c>
    </row>
    <row r="28" spans="1:15" ht="80" customHeight="1" x14ac:dyDescent="0.2">
      <c r="A28" s="3" t="s">
        <v>224</v>
      </c>
      <c r="B28" s="3" t="s">
        <v>225</v>
      </c>
      <c r="C28" s="3" t="s">
        <v>20</v>
      </c>
      <c r="D28" s="3" t="s">
        <v>20</v>
      </c>
      <c r="E28" s="3" t="str">
        <f t="shared" si="0"/>
        <v>1A</v>
      </c>
      <c r="G28" s="3" t="s">
        <v>226</v>
      </c>
      <c r="H28" s="3" t="s">
        <v>227</v>
      </c>
      <c r="I28" s="3" t="s">
        <v>228</v>
      </c>
      <c r="M28" s="3" t="s">
        <v>231</v>
      </c>
      <c r="N28" s="3" t="s">
        <v>229</v>
      </c>
      <c r="O28" s="3" t="s">
        <v>230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7"/>
  <sheetViews>
    <sheetView zoomScale="130" zoomScaleNormal="130" workbookViewId="0">
      <selection activeCell="D1" sqref="D1"/>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232</v>
      </c>
      <c r="B1" s="1" t="s">
        <v>233</v>
      </c>
      <c r="C1" s="1" t="s">
        <v>234</v>
      </c>
      <c r="D1" s="1" t="s">
        <v>235</v>
      </c>
      <c r="E1" s="1" t="s">
        <v>236</v>
      </c>
      <c r="F1" s="1" t="s">
        <v>237</v>
      </c>
      <c r="G1" s="1" t="s">
        <v>238</v>
      </c>
      <c r="H1" s="1" t="s">
        <v>239</v>
      </c>
      <c r="I1" s="1" t="s">
        <v>240</v>
      </c>
      <c r="J1" s="1" t="s">
        <v>241</v>
      </c>
    </row>
    <row r="2" spans="1:10" x14ac:dyDescent="0.2">
      <c r="A2" t="s">
        <v>242</v>
      </c>
      <c r="B2" t="s">
        <v>243</v>
      </c>
      <c r="C2" t="s">
        <v>244</v>
      </c>
      <c r="D2" t="s">
        <v>245</v>
      </c>
      <c r="E2" t="s">
        <v>246</v>
      </c>
      <c r="F2" t="s">
        <v>187</v>
      </c>
      <c r="G2" t="s">
        <v>247</v>
      </c>
      <c r="H2" t="s">
        <v>248</v>
      </c>
      <c r="I2" t="s">
        <v>249</v>
      </c>
      <c r="J2" t="s">
        <v>247</v>
      </c>
    </row>
    <row r="3" spans="1:10" x14ac:dyDescent="0.2">
      <c r="A3" t="s">
        <v>250</v>
      </c>
      <c r="C3" t="s">
        <v>251</v>
      </c>
      <c r="D3" t="s">
        <v>252</v>
      </c>
      <c r="E3" t="s">
        <v>246</v>
      </c>
      <c r="F3" t="s">
        <v>248</v>
      </c>
      <c r="G3" t="s">
        <v>248</v>
      </c>
      <c r="H3" t="s">
        <v>248</v>
      </c>
      <c r="I3" t="s">
        <v>253</v>
      </c>
      <c r="J3" t="s">
        <v>248</v>
      </c>
    </row>
    <row r="4" spans="1:10" x14ac:dyDescent="0.2">
      <c r="A4" t="s">
        <v>242</v>
      </c>
      <c r="B4" t="s">
        <v>243</v>
      </c>
      <c r="C4" t="s">
        <v>254</v>
      </c>
      <c r="D4" t="s">
        <v>255</v>
      </c>
      <c r="E4" t="s">
        <v>246</v>
      </c>
      <c r="F4" t="s">
        <v>187</v>
      </c>
      <c r="G4" t="s">
        <v>248</v>
      </c>
      <c r="H4" t="s">
        <v>248</v>
      </c>
      <c r="I4" t="s">
        <v>256</v>
      </c>
      <c r="J4" t="s">
        <v>257</v>
      </c>
    </row>
    <row r="5" spans="1:10" x14ac:dyDescent="0.2">
      <c r="A5" t="s">
        <v>242</v>
      </c>
      <c r="B5" t="s">
        <v>258</v>
      </c>
      <c r="C5" t="s">
        <v>259</v>
      </c>
      <c r="D5" t="s">
        <v>260</v>
      </c>
      <c r="E5" t="s">
        <v>246</v>
      </c>
      <c r="F5" t="s">
        <v>187</v>
      </c>
      <c r="G5" t="s">
        <v>247</v>
      </c>
      <c r="H5" t="s">
        <v>247</v>
      </c>
      <c r="I5" t="s">
        <v>256</v>
      </c>
      <c r="J5" t="s">
        <v>261</v>
      </c>
    </row>
    <row r="6" spans="1:10" x14ac:dyDescent="0.2">
      <c r="A6" t="s">
        <v>242</v>
      </c>
      <c r="B6" t="s">
        <v>243</v>
      </c>
      <c r="C6" t="s">
        <v>262</v>
      </c>
      <c r="D6" t="s">
        <v>263</v>
      </c>
      <c r="E6" t="s">
        <v>246</v>
      </c>
      <c r="F6" t="s">
        <v>187</v>
      </c>
      <c r="G6" t="s">
        <v>247</v>
      </c>
      <c r="H6" t="s">
        <v>248</v>
      </c>
      <c r="I6" t="s">
        <v>264</v>
      </c>
      <c r="J6" t="s">
        <v>247</v>
      </c>
    </row>
    <row r="7" spans="1:10" x14ac:dyDescent="0.2">
      <c r="A7" t="s">
        <v>242</v>
      </c>
      <c r="B7" t="s">
        <v>265</v>
      </c>
      <c r="C7" t="s">
        <v>266</v>
      </c>
      <c r="D7" t="s">
        <v>267</v>
      </c>
      <c r="E7" t="s">
        <v>246</v>
      </c>
      <c r="F7" t="s">
        <v>187</v>
      </c>
      <c r="G7" t="s">
        <v>187</v>
      </c>
      <c r="H7" t="s">
        <v>248</v>
      </c>
      <c r="I7" t="s">
        <v>264</v>
      </c>
      <c r="J7" t="s">
        <v>261</v>
      </c>
    </row>
    <row r="8" spans="1:10" x14ac:dyDescent="0.2">
      <c r="A8" t="s">
        <v>242</v>
      </c>
      <c r="B8" t="s">
        <v>258</v>
      </c>
      <c r="C8" t="s">
        <v>268</v>
      </c>
      <c r="D8" t="s">
        <v>269</v>
      </c>
      <c r="E8" t="s">
        <v>246</v>
      </c>
      <c r="F8" t="s">
        <v>187</v>
      </c>
      <c r="G8" t="s">
        <v>187</v>
      </c>
      <c r="H8" t="s">
        <v>248</v>
      </c>
      <c r="I8" t="s">
        <v>270</v>
      </c>
      <c r="J8" t="s">
        <v>261</v>
      </c>
    </row>
    <row r="9" spans="1:10" x14ac:dyDescent="0.2">
      <c r="A9" t="s">
        <v>242</v>
      </c>
      <c r="B9" t="s">
        <v>258</v>
      </c>
      <c r="C9" t="s">
        <v>271</v>
      </c>
      <c r="D9" t="s">
        <v>272</v>
      </c>
      <c r="E9" t="s">
        <v>246</v>
      </c>
      <c r="F9" t="s">
        <v>187</v>
      </c>
      <c r="G9" t="s">
        <v>273</v>
      </c>
      <c r="H9" t="s">
        <v>248</v>
      </c>
      <c r="I9" t="s">
        <v>248</v>
      </c>
      <c r="J9" t="s">
        <v>274</v>
      </c>
    </row>
    <row r="10" spans="1:10" x14ac:dyDescent="0.2">
      <c r="A10" t="s">
        <v>275</v>
      </c>
      <c r="B10" t="s">
        <v>276</v>
      </c>
      <c r="C10" t="s">
        <v>277</v>
      </c>
      <c r="D10" t="s">
        <v>278</v>
      </c>
      <c r="E10" t="s">
        <v>246</v>
      </c>
      <c r="F10" t="s">
        <v>247</v>
      </c>
      <c r="G10" t="s">
        <v>247</v>
      </c>
      <c r="H10" t="s">
        <v>248</v>
      </c>
      <c r="I10" t="s">
        <v>247</v>
      </c>
      <c r="J10" t="s">
        <v>257</v>
      </c>
    </row>
    <row r="11" spans="1:10" x14ac:dyDescent="0.2">
      <c r="A11" t="s">
        <v>250</v>
      </c>
      <c r="C11" t="s">
        <v>279</v>
      </c>
      <c r="D11" t="s">
        <v>280</v>
      </c>
      <c r="E11" t="s">
        <v>246</v>
      </c>
      <c r="F11" t="s">
        <v>187</v>
      </c>
      <c r="G11" t="s">
        <v>247</v>
      </c>
      <c r="H11" t="s">
        <v>187</v>
      </c>
      <c r="I11" t="s">
        <v>187</v>
      </c>
      <c r="J11" t="s">
        <v>274</v>
      </c>
    </row>
    <row r="12" spans="1:10" x14ac:dyDescent="0.2">
      <c r="A12" t="s">
        <v>281</v>
      </c>
      <c r="B12" t="s">
        <v>282</v>
      </c>
      <c r="C12" t="s">
        <v>283</v>
      </c>
      <c r="D12" t="s">
        <v>284</v>
      </c>
      <c r="E12" t="s">
        <v>246</v>
      </c>
      <c r="F12" t="s">
        <v>247</v>
      </c>
      <c r="G12" t="s">
        <v>247</v>
      </c>
      <c r="H12" t="s">
        <v>247</v>
      </c>
      <c r="I12" t="s">
        <v>187</v>
      </c>
      <c r="J12" t="s">
        <v>247</v>
      </c>
    </row>
    <row r="13" spans="1:10" x14ac:dyDescent="0.2">
      <c r="A13" t="s">
        <v>250</v>
      </c>
      <c r="C13" t="s">
        <v>285</v>
      </c>
      <c r="D13" t="s">
        <v>286</v>
      </c>
      <c r="E13" t="s">
        <v>246</v>
      </c>
      <c r="F13" t="s">
        <v>187</v>
      </c>
      <c r="G13" t="s">
        <v>187</v>
      </c>
      <c r="H13" t="s">
        <v>273</v>
      </c>
      <c r="I13" t="s">
        <v>273</v>
      </c>
      <c r="J13" t="s">
        <v>287</v>
      </c>
    </row>
    <row r="14" spans="1:10" x14ac:dyDescent="0.2">
      <c r="A14" t="s">
        <v>275</v>
      </c>
      <c r="B14" t="s">
        <v>276</v>
      </c>
      <c r="C14" t="s">
        <v>288</v>
      </c>
      <c r="D14" t="s">
        <v>289</v>
      </c>
      <c r="E14" t="s">
        <v>290</v>
      </c>
      <c r="F14" t="s">
        <v>247</v>
      </c>
      <c r="G14" t="s">
        <v>247</v>
      </c>
      <c r="H14" t="s">
        <v>248</v>
      </c>
      <c r="I14" t="s">
        <v>273</v>
      </c>
      <c r="J14" t="s">
        <v>257</v>
      </c>
    </row>
    <row r="15" spans="1:10" x14ac:dyDescent="0.2">
      <c r="A15" t="s">
        <v>275</v>
      </c>
      <c r="B15" t="s">
        <v>291</v>
      </c>
      <c r="C15" t="s">
        <v>292</v>
      </c>
      <c r="D15" t="s">
        <v>32</v>
      </c>
      <c r="E15" t="s">
        <v>246</v>
      </c>
      <c r="F15" t="s">
        <v>247</v>
      </c>
      <c r="G15" t="s">
        <v>247</v>
      </c>
      <c r="H15" t="s">
        <v>248</v>
      </c>
      <c r="I15" t="s">
        <v>273</v>
      </c>
      <c r="J15" t="s">
        <v>257</v>
      </c>
    </row>
    <row r="16" spans="1:10" x14ac:dyDescent="0.2">
      <c r="A16" t="s">
        <v>281</v>
      </c>
      <c r="B16" t="s">
        <v>282</v>
      </c>
      <c r="C16" t="s">
        <v>293</v>
      </c>
      <c r="D16" t="s">
        <v>294</v>
      </c>
      <c r="E16" t="s">
        <v>246</v>
      </c>
      <c r="F16" t="s">
        <v>247</v>
      </c>
      <c r="G16" t="s">
        <v>187</v>
      </c>
      <c r="H16" t="s">
        <v>247</v>
      </c>
      <c r="I16" t="s">
        <v>273</v>
      </c>
      <c r="J16" t="s">
        <v>261</v>
      </c>
    </row>
    <row r="17" spans="1:10" x14ac:dyDescent="0.2">
      <c r="A17" t="s">
        <v>281</v>
      </c>
      <c r="B17" t="s">
        <v>295</v>
      </c>
      <c r="C17" t="s">
        <v>296</v>
      </c>
      <c r="D17" t="s">
        <v>297</v>
      </c>
      <c r="E17" t="s">
        <v>298</v>
      </c>
      <c r="F17" t="s">
        <v>247</v>
      </c>
      <c r="G17" t="s">
        <v>187</v>
      </c>
      <c r="H17" t="s">
        <v>247</v>
      </c>
      <c r="I17" t="s">
        <v>273</v>
      </c>
      <c r="J17" t="s">
        <v>261</v>
      </c>
    </row>
    <row r="18" spans="1:10" x14ac:dyDescent="0.2">
      <c r="A18" t="s">
        <v>281</v>
      </c>
      <c r="B18" t="s">
        <v>295</v>
      </c>
      <c r="C18" t="s">
        <v>299</v>
      </c>
      <c r="D18" t="s">
        <v>300</v>
      </c>
      <c r="E18" t="s">
        <v>298</v>
      </c>
      <c r="F18" t="s">
        <v>247</v>
      </c>
      <c r="G18" t="s">
        <v>187</v>
      </c>
      <c r="H18" t="s">
        <v>247</v>
      </c>
      <c r="I18" t="s">
        <v>273</v>
      </c>
      <c r="J18" t="s">
        <v>261</v>
      </c>
    </row>
    <row r="19" spans="1:10" x14ac:dyDescent="0.2">
      <c r="A19" t="s">
        <v>281</v>
      </c>
      <c r="B19" t="s">
        <v>301</v>
      </c>
      <c r="C19" t="s">
        <v>302</v>
      </c>
      <c r="D19" t="s">
        <v>248</v>
      </c>
      <c r="E19" t="s">
        <v>246</v>
      </c>
      <c r="F19" t="s">
        <v>247</v>
      </c>
      <c r="G19" t="s">
        <v>247</v>
      </c>
      <c r="H19" t="s">
        <v>247</v>
      </c>
      <c r="I19" t="s">
        <v>32</v>
      </c>
      <c r="J19" t="s">
        <v>247</v>
      </c>
    </row>
    <row r="20" spans="1:10" x14ac:dyDescent="0.2">
      <c r="A20" t="s">
        <v>281</v>
      </c>
      <c r="B20" t="s">
        <v>295</v>
      </c>
      <c r="C20" t="s">
        <v>303</v>
      </c>
      <c r="D20" t="s">
        <v>304</v>
      </c>
      <c r="E20" t="s">
        <v>305</v>
      </c>
      <c r="F20" t="s">
        <v>247</v>
      </c>
      <c r="G20" t="s">
        <v>247</v>
      </c>
      <c r="H20" t="s">
        <v>247</v>
      </c>
      <c r="I20" t="s">
        <v>32</v>
      </c>
      <c r="J20" t="s">
        <v>247</v>
      </c>
    </row>
    <row r="21" spans="1:10" x14ac:dyDescent="0.2">
      <c r="A21" t="s">
        <v>281</v>
      </c>
      <c r="B21" t="s">
        <v>295</v>
      </c>
      <c r="C21" t="s">
        <v>306</v>
      </c>
      <c r="D21" t="s">
        <v>307</v>
      </c>
      <c r="E21" t="s">
        <v>305</v>
      </c>
      <c r="F21" t="s">
        <v>247</v>
      </c>
      <c r="G21" t="s">
        <v>247</v>
      </c>
      <c r="H21" t="s">
        <v>247</v>
      </c>
      <c r="I21" t="s">
        <v>32</v>
      </c>
      <c r="J21" t="s">
        <v>247</v>
      </c>
    </row>
    <row r="22" spans="1:10" x14ac:dyDescent="0.2">
      <c r="A22" t="s">
        <v>308</v>
      </c>
      <c r="C22" t="s">
        <v>309</v>
      </c>
      <c r="D22" t="s">
        <v>310</v>
      </c>
      <c r="E22" t="s">
        <v>311</v>
      </c>
      <c r="F22" t="s">
        <v>187</v>
      </c>
      <c r="G22" t="s">
        <v>187</v>
      </c>
      <c r="H22" t="s">
        <v>273</v>
      </c>
      <c r="I22" t="s">
        <v>312</v>
      </c>
      <c r="J22" t="s">
        <v>287</v>
      </c>
    </row>
    <row r="23" spans="1:10" x14ac:dyDescent="0.2">
      <c r="A23" t="s">
        <v>308</v>
      </c>
      <c r="C23" t="s">
        <v>313</v>
      </c>
      <c r="D23" t="s">
        <v>314</v>
      </c>
      <c r="E23" t="s">
        <v>246</v>
      </c>
      <c r="F23" t="s">
        <v>187</v>
      </c>
      <c r="G23" t="s">
        <v>187</v>
      </c>
      <c r="H23" t="s">
        <v>273</v>
      </c>
      <c r="I23" t="s">
        <v>312</v>
      </c>
      <c r="J23" t="s">
        <v>287</v>
      </c>
    </row>
    <row r="24" spans="1:10" x14ac:dyDescent="0.2">
      <c r="A24" t="s">
        <v>281</v>
      </c>
      <c r="B24" t="s">
        <v>301</v>
      </c>
      <c r="C24" t="s">
        <v>315</v>
      </c>
      <c r="D24" t="s">
        <v>316</v>
      </c>
      <c r="E24" t="s">
        <v>298</v>
      </c>
      <c r="F24" t="s">
        <v>247</v>
      </c>
      <c r="G24" t="s">
        <v>273</v>
      </c>
      <c r="H24" t="s">
        <v>247</v>
      </c>
      <c r="I24" t="s">
        <v>267</v>
      </c>
      <c r="J24" t="s">
        <v>274</v>
      </c>
    </row>
    <row r="25" spans="1:10" x14ac:dyDescent="0.2">
      <c r="A25" t="s">
        <v>281</v>
      </c>
      <c r="B25" t="s">
        <v>301</v>
      </c>
      <c r="C25" t="s">
        <v>317</v>
      </c>
      <c r="D25" t="s">
        <v>318</v>
      </c>
      <c r="E25" t="s">
        <v>246</v>
      </c>
      <c r="F25" t="s">
        <v>247</v>
      </c>
      <c r="G25" t="s">
        <v>187</v>
      </c>
      <c r="H25" t="s">
        <v>247</v>
      </c>
      <c r="I25" t="s">
        <v>245</v>
      </c>
      <c r="J25" t="s">
        <v>261</v>
      </c>
    </row>
    <row r="26" spans="1:10" x14ac:dyDescent="0.2">
      <c r="A26" t="s">
        <v>281</v>
      </c>
      <c r="B26" t="s">
        <v>301</v>
      </c>
      <c r="C26" t="s">
        <v>319</v>
      </c>
      <c r="D26" t="s">
        <v>320</v>
      </c>
      <c r="E26" t="s">
        <v>298</v>
      </c>
      <c r="F26" t="s">
        <v>247</v>
      </c>
      <c r="G26" t="s">
        <v>32</v>
      </c>
      <c r="H26" t="s">
        <v>247</v>
      </c>
      <c r="I26" t="s">
        <v>245</v>
      </c>
      <c r="J26" t="s">
        <v>187</v>
      </c>
    </row>
    <row r="27" spans="1:10" x14ac:dyDescent="0.2">
      <c r="A27" t="s">
        <v>308</v>
      </c>
      <c r="C27" t="s">
        <v>321</v>
      </c>
      <c r="D27" t="s">
        <v>32</v>
      </c>
      <c r="E27" t="s">
        <v>246</v>
      </c>
      <c r="F27" t="s">
        <v>273</v>
      </c>
      <c r="G27" t="s">
        <v>273</v>
      </c>
      <c r="H27" t="s">
        <v>32</v>
      </c>
      <c r="I27" t="s">
        <v>245</v>
      </c>
      <c r="J27" t="s">
        <v>322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outline_v2</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2026-09-01T03:11:57Z</dcterms:modified>
</cp:coreProperties>
</file>