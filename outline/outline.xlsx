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npfeiffer/Documents/code/ai-book-project/outline/"/>
    </mc:Choice>
  </mc:AlternateContent>
  <xr:revisionPtr revIDLastSave="0" documentId="13_ncr:1_{1B7D0B57-3448-9242-8D83-B86946D77F4B}" xr6:coauthVersionLast="47" xr6:coauthVersionMax="47" xr10:uidLastSave="{00000000-0000-0000-0000-000000000000}"/>
  <bookViews>
    <workbookView xWindow="0" yWindow="780" windowWidth="32760" windowHeight="21360" xr2:uid="{00000000-000D-0000-FFFF-FFFF00000000}"/>
  </bookViews>
  <sheets>
    <sheet name="outline_v2" sheetId="1" r:id="rId1"/>
    <sheet name="food table"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 i="1" l="1"/>
  <c r="E26" i="1"/>
  <c r="E13" i="1"/>
  <c r="E17" i="1"/>
  <c r="E4" i="1"/>
  <c r="E5" i="1"/>
  <c r="E6" i="1"/>
  <c r="E7" i="1"/>
  <c r="E8" i="1"/>
  <c r="E9" i="1"/>
  <c r="E10" i="1"/>
  <c r="E11" i="1"/>
  <c r="E12" i="1"/>
  <c r="E14" i="1"/>
  <c r="E15" i="1"/>
  <c r="E16" i="1"/>
  <c r="E18" i="1"/>
  <c r="E19" i="1"/>
  <c r="E20" i="1"/>
  <c r="E21" i="1"/>
  <c r="E22" i="1"/>
  <c r="E23" i="1"/>
  <c r="E24" i="1"/>
  <c r="E25" i="1"/>
  <c r="E27" i="1"/>
  <c r="E28" i="1"/>
  <c r="E3" i="1"/>
</calcChain>
</file>

<file path=xl/sharedStrings.xml><?xml version="1.0" encoding="utf-8"?>
<sst xmlns="http://schemas.openxmlformats.org/spreadsheetml/2006/main" count="544" uniqueCount="315">
  <si>
    <t>Beat</t>
  </si>
  <si>
    <t>Act</t>
  </si>
  <si>
    <t>Story Circle</t>
  </si>
  <si>
    <t>Purpose</t>
  </si>
  <si>
    <t>Goals / Questions to Answer</t>
  </si>
  <si>
    <t>Notes</t>
  </si>
  <si>
    <t>Prologue</t>
  </si>
  <si>
    <t>—</t>
  </si>
  <si>
    <t>Establish real world stakes and tone</t>
  </si>
  <si>
    <t>What's happening in the real world? What's the ominous setup?</t>
  </si>
  <si>
    <t>Opening Image</t>
  </si>
  <si>
    <t>1</t>
  </si>
  <si>
    <t>YOU (comfort)</t>
  </si>
  <si>
    <t>Set Up</t>
  </si>
  <si>
    <t>NEED (desire)</t>
  </si>
  <si>
    <t>GO (unfamiliar)</t>
  </si>
  <si>
    <t>Break into Two</t>
  </si>
  <si>
    <t>Crosses threshold. No going back.</t>
  </si>
  <si>
    <t>What choice does he make? What world does he enter?</t>
  </si>
  <si>
    <t>B Story</t>
  </si>
  <si>
    <t>2A</t>
  </si>
  <si>
    <t>SEARCH (adapt)</t>
  </si>
  <si>
    <t>Relationship that carries theme</t>
  </si>
  <si>
    <t>Who represents the truth Sam needs to learn? What relationship pressures the main plot?</t>
  </si>
  <si>
    <t>Fun and Games</t>
  </si>
  <si>
    <t>Promise of the premise. The cool stuff.</t>
  </si>
  <si>
    <t>What did we come to see? Sam being competent. Technical problem-solving. AI craziness.</t>
  </si>
  <si>
    <t>Journey to the mountain</t>
  </si>
  <si>
    <t>Gondola ride up. Desert mountain in BC. Ramona's geology expertise — rock strata as snapshots in time. Skiing memory (they don't really know what it was). Ramona briefs Sam on rules.</t>
  </si>
  <si>
    <t>First leg of journey to legacy humans</t>
  </si>
  <si>
    <t>Meeting legacy humans</t>
  </si>
  <si>
    <t>What's the deal? What does Sam see?</t>
  </si>
  <si>
    <t>Sam's second visit. Models challenged.</t>
  </si>
  <si>
    <t>What does Sam learn? How do his assumptions fail?</t>
  </si>
  <si>
    <t>Midpoint</t>
  </si>
  <si>
    <t>FIND (get desire)</t>
  </si>
  <si>
    <t>Devastating truth. Stakes raised.</t>
  </si>
  <si>
    <t>What does Sam GET that changes everything?</t>
  </si>
  <si>
    <t>Glenn explains everything</t>
  </si>
  <si>
    <t>What does Sam learn about his reality?</t>
  </si>
  <si>
    <t>Bad Guys Close In</t>
  </si>
  <si>
    <t>2B</t>
  </si>
  <si>
    <t>TAKE (pay price)</t>
  </si>
  <si>
    <t>Resistance increases. Doubt. Pressure internal and external.</t>
  </si>
  <si>
    <t>How does it get worse? What's closing in?</t>
  </si>
  <si>
    <t>Dark Night of Soul</t>
  </si>
  <si>
    <t>Rock bottom. Face the darkness.</t>
  </si>
  <si>
    <t>What does Sam sit with? What does he finally face?</t>
  </si>
  <si>
    <t>Break into Three</t>
  </si>
  <si>
    <t>3</t>
  </si>
  <si>
    <t>RETURN</t>
  </si>
  <si>
    <t>New insight. Another path forward.</t>
  </si>
  <si>
    <t>What does Sam realize? How does B story unlock the answer?</t>
  </si>
  <si>
    <t>The heist deal</t>
  </si>
  <si>
    <t>What does Sam trade? What does Tina provide?</t>
  </si>
  <si>
    <t>Final deal: 'Everything. All my credits. All royalties. You get it all.' In exchange: Tina's help. She's the blind spot — identical DNA to Ramona, invisible to Glenn's model.</t>
  </si>
  <si>
    <t>Finale</t>
  </si>
  <si>
    <t>Resolution. Apply what's learned. Final confrontation.</t>
  </si>
  <si>
    <t>How does Sam use what he's learned? Does he succeed?</t>
  </si>
  <si>
    <t>Final Image</t>
  </si>
  <si>
    <t>CHANGE</t>
  </si>
  <si>
    <t>Mirror/opposite of opening. Shows transformation.</t>
  </si>
  <si>
    <t>How is it same but different?</t>
  </si>
  <si>
    <t>Aquarium again. Same scene. But Sam is truly present now. Asks eldest about january_gymrats. Doesn't know if he's the copy or the original. Doesn't care. He's here.</t>
  </si>
  <si>
    <t>Epilogue</t>
  </si>
  <si>
    <t>Denouement</t>
  </si>
  <si>
    <t>What's the final note?</t>
  </si>
  <si>
    <t>Data center zoom? Coffee Guy aftermath? TBD</t>
  </si>
  <si>
    <t>Chapter</t>
  </si>
  <si>
    <t>Setting</t>
  </si>
  <si>
    <t>Plot</t>
  </si>
  <si>
    <t>Sam's home</t>
  </si>
  <si>
    <t>2</t>
  </si>
  <si>
    <t>4</t>
  </si>
  <si>
    <t>6</t>
  </si>
  <si>
    <t>7</t>
  </si>
  <si>
    <t>10</t>
  </si>
  <si>
    <t>12</t>
  </si>
  <si>
    <t>16</t>
  </si>
  <si>
    <t>Food Supercategory</t>
  </si>
  <si>
    <t>Food Category</t>
  </si>
  <si>
    <t>Food Source</t>
  </si>
  <si>
    <t>FCR (cal in / cal out)</t>
  </si>
  <si>
    <t>Competes w/ Human-Edible Calories</t>
  </si>
  <si>
    <t>UV</t>
  </si>
  <si>
    <t>Drought</t>
  </si>
  <si>
    <t>Anoxia</t>
  </si>
  <si>
    <t>% of Human Calories</t>
  </si>
  <si>
    <t>Composite Resilience (UV+Drought+Anoxia)</t>
  </si>
  <si>
    <t>Staple Crops</t>
  </si>
  <si>
    <t>Tubers</t>
  </si>
  <si>
    <t>Potatoes</t>
  </si>
  <si>
    <t>0.1</t>
  </si>
  <si>
    <t>No</t>
  </si>
  <si>
    <t>5</t>
  </si>
  <si>
    <t>Microbes / SCP</t>
  </si>
  <si>
    <t>Yeast / SCP</t>
  </si>
  <si>
    <t>0.75</t>
  </si>
  <si>
    <t>Cassava / yams</t>
  </si>
  <si>
    <t>0.12</t>
  </si>
  <si>
    <t>4.333</t>
  </si>
  <si>
    <t>Grains</t>
  </si>
  <si>
    <t>Rice (paddy)</t>
  </si>
  <si>
    <t>0.18</t>
  </si>
  <si>
    <t>3.667</t>
  </si>
  <si>
    <t>Sweet potatoes</t>
  </si>
  <si>
    <t>0.15</t>
  </si>
  <si>
    <t>Legumes</t>
  </si>
  <si>
    <t>Legumes (lentils/beans)</t>
  </si>
  <si>
    <t>0.3</t>
  </si>
  <si>
    <t>Wheat</t>
  </si>
  <si>
    <t>0.22</t>
  </si>
  <si>
    <t>Corn</t>
  </si>
  <si>
    <t>0.25</t>
  </si>
  <si>
    <t>3.333</t>
  </si>
  <si>
    <t>Insects / Detritivores</t>
  </si>
  <si>
    <t>Insects</t>
  </si>
  <si>
    <t>Black soldier fly larvae</t>
  </si>
  <si>
    <t>0.9</t>
  </si>
  <si>
    <t>Microalgae</t>
  </si>
  <si>
    <t>0.65</t>
  </si>
  <si>
    <t>Land Animals</t>
  </si>
  <si>
    <t>Dairy</t>
  </si>
  <si>
    <t>Goat milk</t>
  </si>
  <si>
    <t>4.2</t>
  </si>
  <si>
    <t>Seaweed (kelp)</t>
  </si>
  <si>
    <t>0.55</t>
  </si>
  <si>
    <t>2.667</t>
  </si>
  <si>
    <t>Mealworms / grubs</t>
  </si>
  <si>
    <t>1.5</t>
  </si>
  <si>
    <t>Mostly no</t>
  </si>
  <si>
    <t>Detritivores</t>
  </si>
  <si>
    <t>Earthworms</t>
  </si>
  <si>
    <t>Buffalo milk</t>
  </si>
  <si>
    <t>3.6</t>
  </si>
  <si>
    <t>Poultry</t>
  </si>
  <si>
    <t>Chicken</t>
  </si>
  <si>
    <t>1.8</t>
  </si>
  <si>
    <t>Yes</t>
  </si>
  <si>
    <t>Chicken Eggs</t>
  </si>
  <si>
    <t>2.2</t>
  </si>
  <si>
    <t>Meat</t>
  </si>
  <si>
    <t>Goat</t>
  </si>
  <si>
    <t>Duck</t>
  </si>
  <si>
    <t>2.6</t>
  </si>
  <si>
    <t>Low</t>
  </si>
  <si>
    <t>Duck eggs</t>
  </si>
  <si>
    <t>2.5</t>
  </si>
  <si>
    <t>Sea Animals</t>
  </si>
  <si>
    <t>Low-trophic fish</t>
  </si>
  <si>
    <t>1.3</t>
  </si>
  <si>
    <t>Sometimes</t>
  </si>
  <si>
    <t>0.7</t>
  </si>
  <si>
    <t>Squid</t>
  </si>
  <si>
    <t>1.35</t>
  </si>
  <si>
    <t>Pork</t>
  </si>
  <si>
    <t>3.5</t>
  </si>
  <si>
    <t>Sheep / lamb</t>
  </si>
  <si>
    <t>6.5</t>
  </si>
  <si>
    <t>Beef</t>
  </si>
  <si>
    <t>8</t>
  </si>
  <si>
    <t>Jellyfish</t>
  </si>
  <si>
    <t>1.667</t>
  </si>
  <si>
    <t>Accepts colonization job. Enters new world of stakes, resources, compute power. He's chasing legacy now. Glenn (Driver for colonization) walks him through his new world</t>
  </si>
  <si>
    <t>Gondola</t>
  </si>
  <si>
    <t>Mountain</t>
  </si>
  <si>
    <t>Contact</t>
  </si>
  <si>
    <t>World</t>
  </si>
  <si>
    <t>Clouds. Quant Spaceship Demo Lab</t>
  </si>
  <si>
    <t>School. Sam is late</t>
  </si>
  <si>
    <t>It's worse than we thought. Humanity is doomed</t>
  </si>
  <si>
    <t>We have the tech to colonize other worlds. Scale of the problem gets bigger</t>
  </si>
  <si>
    <t>Kid's education is wild and extremely tech heavy.</t>
  </si>
  <si>
    <t>canada is a desert</t>
  </si>
  <si>
    <t>Trailhead, automated guide. Rossland mining history. The Boring Machine. Eye of the Needle entrance. Ramona's Christian background, teasing exchange.</t>
  </si>
  <si>
    <t>Mountain Hike</t>
  </si>
  <si>
    <t>Clouds. Working the problem</t>
  </si>
  <si>
    <t>Clouds. Working the problem more</t>
  </si>
  <si>
    <t>Mountain Optimization</t>
  </si>
  <si>
    <t>the other simulations</t>
  </si>
  <si>
    <t>Clouds. Glenn</t>
  </si>
  <si>
    <t>End of an Epoch / Compression</t>
  </si>
  <si>
    <t xml:space="preserve">Legacy humans are everywhere. They will die out without help though. </t>
  </si>
  <si>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</si>
  <si>
    <t>Space Onboarding</t>
  </si>
  <si>
    <t>Space Progress</t>
  </si>
  <si>
    <t>Space Still Stuck</t>
  </si>
  <si>
    <t>Space Victory</t>
  </si>
  <si>
    <t>None of it matters</t>
  </si>
  <si>
    <t>Rock Bottom</t>
  </si>
  <si>
    <t>Home</t>
  </si>
  <si>
    <t>All alone. Fucked. Reliving memories w/ the memory map. Remembers a place they used to go together. When he goes there she's already there</t>
  </si>
  <si>
    <t>Sam &amp; Ramona's special place</t>
  </si>
  <si>
    <t>Reunion. A plan</t>
  </si>
  <si>
    <t>Heist Plot</t>
  </si>
  <si>
    <t>Heist</t>
  </si>
  <si>
    <t>Prisoner's dilemma / twin heist</t>
  </si>
  <si>
    <t>Aquarium 2</t>
  </si>
  <si>
    <t>Coda</t>
  </si>
  <si>
    <t>Coffee guy callback</t>
  </si>
  <si>
    <t>Birthday Dinner</t>
  </si>
  <si>
    <t>Cats and Rats</t>
  </si>
  <si>
    <t>Sam is late to his kids' thing. He views the whole thing as natural selection, get's work idea to just monte carlo it basically. Kids idolize him. Wife is still supportive but starting to get annoyed. She asks if he'll go visit his sister. Initial refusal</t>
  </si>
  <si>
    <t>Honeycomb takeover. Digital implants. Coup drops 4 people at the table dead at that stage. Make it obvious these are agents doing the work. They aren't as advanced yet.</t>
  </si>
  <si>
    <t>Project ___</t>
  </si>
  <si>
    <t>Answer Key</t>
  </si>
  <si>
    <t>Corporations have taken over the world. They're putting AI in charge</t>
  </si>
  <si>
    <t>He takes the job. He believes he has a higher calling</t>
  </si>
  <si>
    <t>Ramona. She wants him home more, she wants him present more. He's ignoring her.</t>
  </si>
  <si>
    <t>What is the status of this world? What does Ramona explain?</t>
  </si>
  <si>
    <t>How have they managed to hide all this time?</t>
  </si>
  <si>
    <t>Earth is dying. More proof how bad it has gotten</t>
  </si>
  <si>
    <t>They're in the mountain</t>
  </si>
  <si>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</si>
  <si>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</si>
  <si>
    <t>Fun and games</t>
  </si>
  <si>
    <t>Wife Falling Out</t>
  </si>
  <si>
    <t>What did your choice cost you?</t>
  </si>
  <si>
    <t>His family / marriage</t>
  </si>
  <si>
    <t>He finally figures it out</t>
  </si>
  <si>
    <t>Lab (clouds, physical manifestation of the humans)</t>
  </si>
  <si>
    <t>chapter</t>
  </si>
  <si>
    <t>What obstacles does he actually have here?</t>
  </si>
  <si>
    <t>Coffee Guy Interlude</t>
  </si>
  <si>
    <t>Memory anomaly</t>
  </si>
  <si>
    <t>Who is getting this bill?</t>
  </si>
  <si>
    <t>People are watching this project</t>
  </si>
  <si>
    <t>Who is paying for this? What are the consequences for not getting the job done?</t>
  </si>
  <si>
    <t>Glenn reports to someone. There's a hard deadline and there are no results. Put pressure on the team</t>
  </si>
  <si>
    <t>Coffee shop. He's talking to Glenn</t>
  </si>
  <si>
    <t>Coffee shop.</t>
  </si>
  <si>
    <t>What's the payoff? How did he solve it?</t>
  </si>
  <si>
    <t>He ran 88B instances of human creation in these worlds. He eventually found a viable population of Ne that is stable diversity. The moral implications of essentially killing that many simulations</t>
  </si>
  <si>
    <t>It's Grant Melrose</t>
  </si>
  <si>
    <t>The usage is getting high enough that he's having an issue with the bills. But Glenn reveals the progress. Wrap up the epoch and rewards, update the policy. Compress and store what is needed to get the next epoch ready for the date</t>
  </si>
  <si>
    <t>The purpose of his existence is to refine the policy prior to Quant's project takeover. He's shaping the governing AGI to maximize human's survival chances. But not him, he's just a machine</t>
  </si>
  <si>
    <t>Robots have blind spots too</t>
  </si>
  <si>
    <t>He finally realizes that he wants to spend his time with his family, even if it's going to end next week. Money doesn't matter. Legacy doesn't matter.</t>
  </si>
  <si>
    <t>He gives them everything. He's purchasing a data center and putting it within reach of the mountain. He'll be able to launder any amount of power for them through it.</t>
  </si>
  <si>
    <t>Models are just that. Humans can still beat robots. Choosing his family is actually correct</t>
  </si>
  <si>
    <t xml:space="preserve">The heist. Memory spike triggers Glenn. Breakpoint used. Tina as out-of-sample variable breaks Glenn's model. AI assistant takeover. </t>
  </si>
  <si>
    <t>How does he break the global scope issue</t>
  </si>
  <si>
    <t>Final payoff</t>
  </si>
  <si>
    <t>Heist Approval</t>
  </si>
  <si>
    <t>He tricks and replaces glenn w/ Maya</t>
  </si>
  <si>
    <t>Coffee guy shop, end of the day</t>
  </si>
  <si>
    <t>Coffee Guy approves routine-looking task list. Simulation copied to hidden server. He wraps up and tells Maya to summarize the work, generate the white paper, presentation, and suggested script for his review by 430AM</t>
  </si>
  <si>
    <t>The energy ladder all the way from his server out to the exoplanets</t>
  </si>
  <si>
    <t>Exoplanets, Simulation Software (zoom in, zoom out. Granularity optimized for zoom level). He's solved one issue but it creates another (DNA?)</t>
  </si>
  <si>
    <t>The mountain has an energy crisis. It's symbolism for our current energy pressures / living in a closed system. Sam will trade optimizing their shit for DNA</t>
  </si>
  <si>
    <t>This unknown man is pulling the strings on this project. What the fuck you mean he took a day off?</t>
  </si>
  <si>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</si>
  <si>
    <t>words</t>
  </si>
  <si>
    <t>All is Lost</t>
  </si>
  <si>
    <t>He learns that models / computers are still imperfect. He can't blindly trust the technology.</t>
  </si>
  <si>
    <t xml:space="preserve">He can't do his job. He needs to be at the mountain. Glenn knows about Ramona and Tina. This isn't a colonization project. It's an abandonment project. </t>
  </si>
  <si>
    <t xml:space="preserve">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 This isn't a colonization project. It's an abandonment project. </t>
  </si>
  <si>
    <t>Work From Home</t>
  </si>
  <si>
    <t>Clouds / Sam's Home</t>
  </si>
  <si>
    <t>Unretirement</t>
  </si>
  <si>
    <t>Deprecated humans (luddites, amish). Sam has been floating Tina and family. Need to show the legacy vs. posthuman dynamic somehow</t>
  </si>
  <si>
    <t xml:space="preserve">
Jolt to the status quo</t>
  </si>
  <si>
    <t>Visual/emotional snapshot BEFORE change
Status quo. Plant the want. Hint at transformation. What is this story about?</t>
  </si>
  <si>
    <t>What's Sam's world? Who are his people, who matters? What makes him different?
What truth will Sam learn? Someone says it — he doesn't get it yet.</t>
  </si>
  <si>
    <t>He's really good at simulation and optimization. Food and Energy balance. Think Virtual power plants meets Distributed Energy Resource Management System meets Food chain logistics. He is using monte carlo / enormous simulation software to model this. He has 2 kids and a wife. Wife is stay at home and stressed. She knows family over legacy, he doesn't</t>
  </si>
  <si>
    <t xml:space="preserve">
What disrupts everything? What opportunity appears?
Why would he say no? What's the cost? What's he torn between?</t>
  </si>
  <si>
    <t>Family is your legacy. Put them first
A real chance at legacy. One more job.
He just retired. His kids are so excited for him to be home. He loves being a dad but wants his legacy</t>
  </si>
  <si>
    <t>Ramona at museum, Sam "planning a trip" but actually hunting contracts. Glenn appears with colonization  
    offer. Sam gets excited, rationalizes. Ramona comes home, supportive but sees through him. Gets to her real opinion        
    eventually. He chooses ego.  
Bored as fuck. Planning a trip with his AI. Checks inbox and takes the call. It's the physical manifestation of Glenn. Colonization project. Genetic seed ship. His name on every planet. The ultimate legacy. Gets a briefing without a ton of other info
Ramona is pregnant with 3rd (taboo). She wants him present for this phase. Sam's choice: legacy vs. presence. NOT money — they're set. The job is pure ego.</t>
  </si>
  <si>
    <t>Set up Cloud. The food chain is doomed. Optimization wizard. AI are real parts of this
Small quarters. Ultra high tech kids using AI. Mars colonized or starting to be. Food rationing. Universal basic income. 3rd kid limits</t>
  </si>
  <si>
    <t>How is his choice changing the dynamic?</t>
  </si>
  <si>
    <t>He's starting to be even less present. His wife got him a thoughtful gift and he's still elsewhere</t>
  </si>
  <si>
    <t>Out to dinner</t>
  </si>
  <si>
    <t>TBD, need kids there</t>
  </si>
  <si>
    <t>Tina shows up at the house, livid. Ramona slipped about the true purpose of the mission. The kids are there too. Find something dope for them to be doing before Tina escalates. He says some shit he can't take back that severs everything. He logs back on, determined now to go the extra mile. Basically murder all the simulations by the thousands with broken DNA combinations to find unusual alleles</t>
  </si>
  <si>
    <t>Glenn appears in person. 'We should talk.' Sam thinks he's done it. He's saved the simulation, but Glenn can't expose the mountain or he'll destroy it all. Glenn is like relax, it was a bluff. Sam found his genetic answer — and got way more than he wanted. Everything he's working toward is meaningless.Reveals simulation truth.  His legacy project is just training data.</t>
  </si>
  <si>
    <t>Tina's visit</t>
  </si>
  <si>
    <t>Coffee Guy Intro</t>
  </si>
  <si>
    <t>He has it. This is his career achievement. His name will live on. However, this isn't just an abandonmentt, It actually is even worse than that, nobody will ever even know your name. You're simulation #CA14-0f48- etc..</t>
  </si>
  <si>
    <t xml:space="preserve">  Do you have any idea what it costs to keep this simulation running? There are 10k trials in this epoch. We're saving the most promising 10%. The rest get noted for reproduceability, summarized, and compressed in rare occasions
His legacy project is just training data.. Processing horror. Tries to quit/delete — Glenn laughs, it won't matter. Colonization continues but Sam is hollow. </t>
  </si>
  <si>
    <t>Not only are you a simulation, you're one of thousands. The expense is unbelievable. We're turning you off</t>
  </si>
  <si>
    <t>He's not sure if he's even real. He knows he doesn't matter now. It doesn't matter, he just wants to be home
He's present with his kids. He's all in.</t>
  </si>
  <si>
    <t>Press button, walk Home, aquarium</t>
  </si>
  <si>
    <t>Reveals the purpose and how deep the simulation goes truth. Glenn's 'I'm not a god' monologue. Shows Sam brother simulations — parallel trials with similar genetics. The weird shit Glenn's tried (made a guy immortal, still screaming). Glenn gives one breakpoint as cruel gift.</t>
  </si>
  <si>
    <t>What changed?</t>
  </si>
  <si>
    <t>world setup</t>
  </si>
  <si>
    <t>wife is pregnant, he's retired</t>
  </si>
  <si>
    <t>call to action</t>
  </si>
  <si>
    <t>he's going to be a hero</t>
  </si>
  <si>
    <t>cracks in the façade</t>
  </si>
  <si>
    <t>mystery unfolding. Genetic wall</t>
  </si>
  <si>
    <t>More cracks, but legacy humans might have the answer</t>
  </si>
  <si>
    <t>Ominous surveillance, increase mystery</t>
  </si>
  <si>
    <t>Pressure hitting project. He's not a hero, he's giving up on earth. Stakes raised, could expose mountain</t>
  </si>
  <si>
    <t>He's no longer welcome at the mountain. His wife now hates him</t>
  </si>
  <si>
    <t>Connection further clarified, drop very heavy clues</t>
  </si>
  <si>
    <t>Finally he solves the colonization</t>
  </si>
  <si>
    <t>He solved it but it didn't matter</t>
  </si>
  <si>
    <t>His world is going to turn off</t>
  </si>
  <si>
    <t>His family left him</t>
  </si>
  <si>
    <t>His wife gives him the path forward. They reconcile</t>
  </si>
  <si>
    <t>Tina is in, begrudgingly. It's quid pro quo. She still hates him</t>
  </si>
  <si>
    <t>Glenn is defeated, Maya takes over</t>
  </si>
  <si>
    <t>The memory is copied over, it worked</t>
  </si>
  <si>
    <t>He now has perspective. He's saved his family</t>
  </si>
  <si>
    <t>Show the scale of where he is, where he fits into the universe, his energy transfers light years later to a particle of heat on the future home of humanity</t>
  </si>
  <si>
    <t>He's present with his wife</t>
  </si>
  <si>
    <t>He's surrendering to her lead</t>
  </si>
  <si>
    <t>He's in a simulation, and it's irrefutable. He's not special, Glenn is why you mattered</t>
  </si>
  <si>
    <t>Now he knows how to get what he needs</t>
  </si>
  <si>
    <t>His top-down model failed. Ground truth broke it. He fixes it by walking the
   system. This plants the seed for his colonization breakthrough AND the heist — same principle, bigger stakes.</t>
  </si>
  <si>
    <t>systems approach: protein → pathway → cell → tissue → organ → organism. He merged top-down
   population sim with bottoms-up biological modeling. The mountain taught him how.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</si>
  <si>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 Robots have blind spots too" becomes: "Top-down systems can't see ground-level truth. Glenn  
  has the same weakness Sam's model had. Tina is the ground truth.</t>
  </si>
  <si>
    <t>Goes into the clouds for work. Show him in his comfort zone. Show the technological progress. AI Agents. His problem set. His competence. So the scene opens on him deep in the work, clearly good at it, clearly engaged. The AI colleague is riffing with him.       
  They're in flow. Then something breaks the spell — a kid yelling, a door slamming, Ramona's footsteps. He looks at the clock 
  and it's three hours later than he thought. The reader gets competence, AI, the food problem, AND the domestic cost in one   
  scene without anyone saying "he was bored" or "he was rich."                                                                 
  The hook isn't his situation. It's the gap between what he's doing and what he should be doing. The reader recognizes that   
  person.                                                    
He hears banging throughout the simulation. It's his wife at his office door. Oh shit he's late, drops out to go home. He missed dinner, kids are running around, wife is overwhelmed. It's already bedtime.
Ramona is pregnant with 3rd (taboo). She wants him present for this phase. Sam's choice: legacy vs. presence. NOT money — they're set. The job is pure ego.</t>
  </si>
  <si>
    <t>They made him something special. Japanese spider crab. A memory map. Places they will go. Wife says something about Tina that starts to distract him, he agrees to go to the journey. He loses the conversation. She makes a pass at him and he denies, logs back on
Aquarium scene here perhaps? Could possibly lose it altogether</t>
  </si>
  <si>
    <t>ranch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</si>
</sst>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3">
    <fill>
      <patternFill patternType="none"/>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9" fontId="0" fillId="0" borderId="0" xfId="0" applyNumberForma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8"/>
  <sheetViews>
    <sheetView tabSelected="1" zoomScale="150" zoomScaleNormal="150" workbookViewId="0">
      <pane ySplit="2" topLeftCell="A5" activePane="bottomLeft" state="frozen"/>
      <selection pane="bottomLeft" activeCell="H5" sqref="H5"/>
    </sheetView>
  </sheetViews>
  <sheetFormatPr baseColWidth="10" defaultColWidth="8.83203125" defaultRowHeight="15" x14ac:dyDescent="0.2"/>
  <cols>
    <col min="1" max="1" width="15" style="3" bestFit="1" customWidth="1"/>
    <col min="2" max="2" width="11.6640625" style="3" bestFit="1" customWidth="1"/>
    <col min="3" max="3" width="3.83203125" style="3" bestFit="1" customWidth="1"/>
    <col min="4" max="4" width="13.83203125" style="3" bestFit="1" customWidth="1"/>
    <col min="5" max="5" width="7.1640625" style="3" bestFit="1" customWidth="1"/>
    <col min="6" max="6" width="6" style="3" bestFit="1" customWidth="1"/>
    <col min="7" max="7" width="20.33203125" style="3" customWidth="1"/>
    <col min="8" max="8" width="30.6640625" style="3" customWidth="1"/>
    <col min="9" max="9" width="27.33203125" style="3" customWidth="1"/>
    <col min="10" max="10" width="31.33203125" style="3" customWidth="1"/>
    <col min="11" max="11" width="64.1640625" style="3" customWidth="1"/>
    <col min="12" max="12" width="24.33203125" style="3" customWidth="1"/>
    <col min="13" max="13" width="40.5" style="3" customWidth="1"/>
    <col min="14" max="14" width="40" style="3" customWidth="1"/>
    <col min="15" max="16384" width="8.83203125" style="3"/>
  </cols>
  <sheetData>
    <row r="1" spans="1:14" x14ac:dyDescent="0.2">
      <c r="F1" s="3">
        <f>SUM(F3:F176)</f>
        <v>8791</v>
      </c>
    </row>
    <row r="2" spans="1:14" ht="16" x14ac:dyDescent="0.2">
      <c r="A2" s="2" t="s">
        <v>0</v>
      </c>
      <c r="B2" s="2" t="s">
        <v>68</v>
      </c>
      <c r="C2" s="2" t="s">
        <v>1</v>
      </c>
      <c r="D2" s="2" t="s">
        <v>2</v>
      </c>
      <c r="E2" s="2" t="s">
        <v>221</v>
      </c>
      <c r="F2" s="2" t="s">
        <v>252</v>
      </c>
      <c r="G2" s="2" t="s">
        <v>3</v>
      </c>
      <c r="H2" s="2" t="s">
        <v>4</v>
      </c>
      <c r="I2" s="2" t="s">
        <v>205</v>
      </c>
      <c r="J2" s="2" t="s">
        <v>69</v>
      </c>
      <c r="K2" s="2" t="s">
        <v>70</v>
      </c>
      <c r="L2" s="2" t="s">
        <v>283</v>
      </c>
      <c r="M2" s="2" t="s">
        <v>167</v>
      </c>
      <c r="N2" s="2" t="s">
        <v>5</v>
      </c>
    </row>
    <row r="3" spans="1:14" ht="80" x14ac:dyDescent="0.2">
      <c r="A3" s="3" t="s">
        <v>6</v>
      </c>
      <c r="B3" s="3" t="s">
        <v>204</v>
      </c>
      <c r="C3" s="3" t="s">
        <v>7</v>
      </c>
      <c r="D3" s="3" t="s">
        <v>7</v>
      </c>
      <c r="E3" s="3" t="str">
        <f>DEC2HEX((ROW()-2))</f>
        <v>1</v>
      </c>
      <c r="F3" s="3">
        <v>3713</v>
      </c>
      <c r="G3" s="3" t="s">
        <v>8</v>
      </c>
      <c r="H3" s="3" t="s">
        <v>9</v>
      </c>
      <c r="I3" s="3" t="s">
        <v>206</v>
      </c>
      <c r="J3" s="3" t="s">
        <v>314</v>
      </c>
      <c r="K3" s="3" t="s">
        <v>251</v>
      </c>
      <c r="L3" s="3" t="s">
        <v>284</v>
      </c>
      <c r="M3" s="3" t="s">
        <v>203</v>
      </c>
    </row>
    <row r="4" spans="1:14" ht="320" x14ac:dyDescent="0.2">
      <c r="A4" s="3" t="s">
        <v>10</v>
      </c>
      <c r="B4" s="3" t="s">
        <v>257</v>
      </c>
      <c r="C4" s="3" t="s">
        <v>11</v>
      </c>
      <c r="D4" s="3" t="s">
        <v>12</v>
      </c>
      <c r="E4" s="3" t="str">
        <f t="shared" ref="E4:E28" si="0">DEC2HEX((ROW()-2))</f>
        <v>2</v>
      </c>
      <c r="G4" s="3" t="s">
        <v>262</v>
      </c>
      <c r="H4" s="3" t="s">
        <v>263</v>
      </c>
      <c r="I4" s="3" t="s">
        <v>264</v>
      </c>
      <c r="J4" s="3" t="s">
        <v>258</v>
      </c>
      <c r="K4" s="3" t="s">
        <v>312</v>
      </c>
      <c r="L4" s="3" t="s">
        <v>285</v>
      </c>
      <c r="M4" s="3" t="s">
        <v>268</v>
      </c>
    </row>
    <row r="5" spans="1:14" ht="192" x14ac:dyDescent="0.2">
      <c r="A5" s="3" t="s">
        <v>13</v>
      </c>
      <c r="B5" s="3" t="s">
        <v>259</v>
      </c>
      <c r="C5" s="3" t="s">
        <v>11</v>
      </c>
      <c r="D5" s="3" t="s">
        <v>14</v>
      </c>
      <c r="E5" s="3" t="str">
        <f t="shared" si="0"/>
        <v>3</v>
      </c>
      <c r="F5" s="4"/>
      <c r="G5" s="3" t="s">
        <v>261</v>
      </c>
      <c r="H5" s="3" t="s">
        <v>265</v>
      </c>
      <c r="I5" s="3" t="s">
        <v>266</v>
      </c>
      <c r="J5" s="3" t="s">
        <v>71</v>
      </c>
      <c r="K5" s="3" t="s">
        <v>267</v>
      </c>
      <c r="L5" s="3" t="s">
        <v>286</v>
      </c>
      <c r="M5" s="3" t="s">
        <v>260</v>
      </c>
    </row>
    <row r="6" spans="1:14" ht="48" x14ac:dyDescent="0.2">
      <c r="A6" s="3" t="s">
        <v>16</v>
      </c>
      <c r="B6" s="3" t="s">
        <v>184</v>
      </c>
      <c r="C6" s="3" t="s">
        <v>11</v>
      </c>
      <c r="D6" s="3" t="s">
        <v>15</v>
      </c>
      <c r="E6" s="3" t="str">
        <f t="shared" si="0"/>
        <v>4</v>
      </c>
      <c r="G6" s="3" t="s">
        <v>17</v>
      </c>
      <c r="H6" s="3" t="s">
        <v>18</v>
      </c>
      <c r="I6" s="3" t="s">
        <v>207</v>
      </c>
      <c r="J6" s="3" t="s">
        <v>168</v>
      </c>
      <c r="K6" s="3" t="s">
        <v>163</v>
      </c>
      <c r="L6" s="3" t="s">
        <v>287</v>
      </c>
      <c r="M6" s="3" t="s">
        <v>171</v>
      </c>
    </row>
    <row r="7" spans="1:14" ht="48" x14ac:dyDescent="0.2">
      <c r="A7" s="3" t="s">
        <v>19</v>
      </c>
      <c r="B7" s="3" t="s">
        <v>201</v>
      </c>
      <c r="C7" s="3" t="s">
        <v>20</v>
      </c>
      <c r="D7" s="3" t="s">
        <v>21</v>
      </c>
      <c r="E7" s="3" t="str">
        <f t="shared" si="0"/>
        <v>5</v>
      </c>
      <c r="G7" s="3" t="s">
        <v>22</v>
      </c>
      <c r="H7" s="3" t="s">
        <v>23</v>
      </c>
      <c r="I7" s="3" t="s">
        <v>208</v>
      </c>
      <c r="J7" s="3" t="s">
        <v>169</v>
      </c>
      <c r="K7" s="3" t="s">
        <v>202</v>
      </c>
      <c r="L7" s="3" t="s">
        <v>288</v>
      </c>
      <c r="M7" s="3" t="s">
        <v>172</v>
      </c>
    </row>
    <row r="8" spans="1:14" ht="80" x14ac:dyDescent="0.2">
      <c r="A8" s="3" t="s">
        <v>24</v>
      </c>
      <c r="B8" s="3" t="s">
        <v>185</v>
      </c>
      <c r="C8" s="3" t="s">
        <v>20</v>
      </c>
      <c r="D8" s="3" t="s">
        <v>21</v>
      </c>
      <c r="E8" s="3" t="str">
        <f t="shared" si="0"/>
        <v>6</v>
      </c>
      <c r="F8" s="4"/>
      <c r="G8" s="3" t="s">
        <v>25</v>
      </c>
      <c r="H8" s="3" t="s">
        <v>26</v>
      </c>
      <c r="I8" s="3" t="s">
        <v>248</v>
      </c>
      <c r="J8" s="3" t="s">
        <v>176</v>
      </c>
      <c r="K8" s="3" t="s">
        <v>183</v>
      </c>
      <c r="L8" s="3" t="s">
        <v>289</v>
      </c>
      <c r="M8" s="3" t="s">
        <v>170</v>
      </c>
    </row>
    <row r="9" spans="1:14" ht="96" x14ac:dyDescent="0.2">
      <c r="A9" s="3" t="s">
        <v>24</v>
      </c>
      <c r="B9" s="3" t="s">
        <v>200</v>
      </c>
      <c r="C9" s="3" t="s">
        <v>20</v>
      </c>
      <c r="D9" s="3" t="s">
        <v>21</v>
      </c>
      <c r="E9" s="3" t="str">
        <f t="shared" si="0"/>
        <v>7</v>
      </c>
      <c r="F9" s="4"/>
      <c r="H9" s="3" t="s">
        <v>269</v>
      </c>
      <c r="I9" s="3" t="s">
        <v>270</v>
      </c>
      <c r="J9" s="3" t="s">
        <v>271</v>
      </c>
      <c r="K9" s="3" t="s">
        <v>313</v>
      </c>
      <c r="L9" s="3" t="s">
        <v>290</v>
      </c>
    </row>
    <row r="10" spans="1:14" ht="48" x14ac:dyDescent="0.2">
      <c r="A10" s="3" t="s">
        <v>24</v>
      </c>
      <c r="B10" s="3" t="s">
        <v>164</v>
      </c>
      <c r="C10" s="3" t="s">
        <v>20</v>
      </c>
      <c r="D10" s="3" t="s">
        <v>21</v>
      </c>
      <c r="E10" s="3" t="str">
        <f t="shared" si="0"/>
        <v>8</v>
      </c>
      <c r="F10" s="3">
        <v>1680</v>
      </c>
      <c r="G10" s="3" t="s">
        <v>27</v>
      </c>
      <c r="H10" s="3" t="s">
        <v>209</v>
      </c>
      <c r="I10" s="3" t="s">
        <v>211</v>
      </c>
      <c r="J10" s="3" t="s">
        <v>164</v>
      </c>
      <c r="K10" s="3" t="s">
        <v>28</v>
      </c>
      <c r="L10" s="3" t="s">
        <v>305</v>
      </c>
      <c r="M10" s="3" t="s">
        <v>173</v>
      </c>
    </row>
    <row r="11" spans="1:14" ht="32" x14ac:dyDescent="0.2">
      <c r="A11" s="3" t="s">
        <v>24</v>
      </c>
      <c r="B11" s="3" t="s">
        <v>165</v>
      </c>
      <c r="C11" s="3" t="s">
        <v>20</v>
      </c>
      <c r="D11" s="3" t="s">
        <v>21</v>
      </c>
      <c r="E11" s="3" t="str">
        <f t="shared" si="0"/>
        <v>9</v>
      </c>
      <c r="F11" s="3">
        <v>1325</v>
      </c>
      <c r="G11" s="3" t="s">
        <v>29</v>
      </c>
      <c r="H11" s="3" t="s">
        <v>210</v>
      </c>
      <c r="I11" s="3" t="s">
        <v>212</v>
      </c>
      <c r="J11" s="3" t="s">
        <v>175</v>
      </c>
      <c r="K11" s="3" t="s">
        <v>174</v>
      </c>
      <c r="L11" s="3" t="s">
        <v>306</v>
      </c>
    </row>
    <row r="12" spans="1:14" ht="64" x14ac:dyDescent="0.2">
      <c r="A12" s="3" t="s">
        <v>24</v>
      </c>
      <c r="B12" s="3" t="s">
        <v>166</v>
      </c>
      <c r="C12" s="3" t="s">
        <v>20</v>
      </c>
      <c r="D12" s="3" t="s">
        <v>21</v>
      </c>
      <c r="E12" s="3" t="str">
        <f t="shared" si="0"/>
        <v>A</v>
      </c>
      <c r="F12" s="3">
        <v>2073</v>
      </c>
      <c r="G12" s="3" t="s">
        <v>30</v>
      </c>
      <c r="H12" s="3" t="s">
        <v>31</v>
      </c>
      <c r="I12" s="3" t="s">
        <v>249</v>
      </c>
      <c r="J12" s="3" t="s">
        <v>165</v>
      </c>
      <c r="K12" s="3" t="s">
        <v>213</v>
      </c>
      <c r="L12" s="3" t="s">
        <v>308</v>
      </c>
      <c r="M12" s="3" t="s">
        <v>182</v>
      </c>
    </row>
    <row r="13" spans="1:14" ht="48" x14ac:dyDescent="0.2">
      <c r="A13" s="3" t="s">
        <v>24</v>
      </c>
      <c r="B13" s="3" t="s">
        <v>223</v>
      </c>
      <c r="C13" s="3" t="s">
        <v>20</v>
      </c>
      <c r="D13" s="3" t="s">
        <v>21</v>
      </c>
      <c r="E13" s="3" t="str">
        <f t="shared" si="0"/>
        <v>B</v>
      </c>
      <c r="G13" s="3" t="s">
        <v>226</v>
      </c>
      <c r="H13" s="3" t="s">
        <v>227</v>
      </c>
      <c r="I13" s="3" t="s">
        <v>228</v>
      </c>
      <c r="J13" s="3" t="s">
        <v>229</v>
      </c>
      <c r="K13" s="3" t="s">
        <v>250</v>
      </c>
      <c r="L13" s="3" t="s">
        <v>291</v>
      </c>
    </row>
    <row r="14" spans="1:14" ht="144" x14ac:dyDescent="0.2">
      <c r="A14" s="3" t="s">
        <v>24</v>
      </c>
      <c r="B14" s="3" t="s">
        <v>186</v>
      </c>
      <c r="C14" s="3" t="s">
        <v>20</v>
      </c>
      <c r="D14" s="3" t="s">
        <v>21</v>
      </c>
      <c r="E14" s="3" t="str">
        <f t="shared" si="0"/>
        <v>C</v>
      </c>
      <c r="F14" s="4"/>
      <c r="G14" s="3" t="s">
        <v>215</v>
      </c>
      <c r="H14" s="3" t="s">
        <v>222</v>
      </c>
      <c r="I14" s="3" t="s">
        <v>255</v>
      </c>
      <c r="J14" s="3" t="s">
        <v>177</v>
      </c>
      <c r="K14" s="3" t="s">
        <v>256</v>
      </c>
      <c r="L14" s="3" t="s">
        <v>292</v>
      </c>
    </row>
    <row r="15" spans="1:14" ht="96" x14ac:dyDescent="0.2">
      <c r="A15" s="3" t="s">
        <v>24</v>
      </c>
      <c r="B15" s="3" t="s">
        <v>178</v>
      </c>
      <c r="C15" s="3" t="s">
        <v>20</v>
      </c>
      <c r="D15" s="3" t="s">
        <v>21</v>
      </c>
      <c r="E15" s="3" t="str">
        <f t="shared" si="0"/>
        <v>D</v>
      </c>
      <c r="G15" s="3" t="s">
        <v>32</v>
      </c>
      <c r="H15" s="3" t="s">
        <v>33</v>
      </c>
      <c r="I15" s="3" t="s">
        <v>254</v>
      </c>
      <c r="J15" s="3" t="s">
        <v>165</v>
      </c>
      <c r="K15" s="3" t="s">
        <v>214</v>
      </c>
      <c r="L15" s="3" t="s">
        <v>309</v>
      </c>
    </row>
    <row r="16" spans="1:14" ht="96" x14ac:dyDescent="0.2">
      <c r="A16" s="3" t="s">
        <v>24</v>
      </c>
      <c r="B16" s="3" t="s">
        <v>275</v>
      </c>
      <c r="C16" s="3" t="s">
        <v>20</v>
      </c>
      <c r="D16" s="3" t="s">
        <v>21</v>
      </c>
      <c r="E16" s="3" t="str">
        <f t="shared" si="0"/>
        <v>E</v>
      </c>
      <c r="F16" s="4"/>
      <c r="G16" s="3" t="s">
        <v>216</v>
      </c>
      <c r="H16" s="3" t="s">
        <v>217</v>
      </c>
      <c r="I16" s="3" t="s">
        <v>218</v>
      </c>
      <c r="J16" s="3" t="s">
        <v>272</v>
      </c>
      <c r="K16" s="3" t="s">
        <v>273</v>
      </c>
      <c r="L16" s="3" t="s">
        <v>293</v>
      </c>
    </row>
    <row r="17" spans="1:12" ht="48" x14ac:dyDescent="0.2">
      <c r="A17" s="3" t="s">
        <v>24</v>
      </c>
      <c r="B17" s="3" t="s">
        <v>276</v>
      </c>
      <c r="C17" s="3" t="s">
        <v>20</v>
      </c>
      <c r="D17" s="3" t="s">
        <v>21</v>
      </c>
      <c r="E17" s="3" t="str">
        <f t="shared" si="0"/>
        <v>F</v>
      </c>
      <c r="F17" s="4"/>
      <c r="G17" s="3" t="s">
        <v>224</v>
      </c>
      <c r="H17" s="3" t="s">
        <v>225</v>
      </c>
      <c r="I17" s="3" t="s">
        <v>233</v>
      </c>
      <c r="J17" s="3" t="s">
        <v>230</v>
      </c>
      <c r="K17" s="3" t="s">
        <v>234</v>
      </c>
      <c r="L17" s="3" t="s">
        <v>294</v>
      </c>
    </row>
    <row r="18" spans="1:12" ht="112" x14ac:dyDescent="0.2">
      <c r="A18" s="3" t="s">
        <v>34</v>
      </c>
      <c r="B18" s="3" t="s">
        <v>187</v>
      </c>
      <c r="C18" s="3" t="s">
        <v>20</v>
      </c>
      <c r="D18" s="3" t="s">
        <v>35</v>
      </c>
      <c r="E18" s="3" t="str">
        <f t="shared" si="0"/>
        <v>10</v>
      </c>
      <c r="F18" s="4"/>
      <c r="G18" s="3" t="s">
        <v>219</v>
      </c>
      <c r="H18" s="3" t="s">
        <v>231</v>
      </c>
      <c r="I18" s="3" t="s">
        <v>232</v>
      </c>
      <c r="J18" s="3" t="s">
        <v>220</v>
      </c>
      <c r="K18" s="3" t="s">
        <v>310</v>
      </c>
      <c r="L18" s="3" t="s">
        <v>295</v>
      </c>
    </row>
    <row r="19" spans="1:12" ht="80" x14ac:dyDescent="0.2">
      <c r="A19" s="3" t="s">
        <v>34</v>
      </c>
      <c r="B19" s="3" t="s">
        <v>188</v>
      </c>
      <c r="C19" s="3" t="s">
        <v>20</v>
      </c>
      <c r="D19" s="3" t="s">
        <v>35</v>
      </c>
      <c r="E19" s="3" t="str">
        <f t="shared" si="0"/>
        <v>11</v>
      </c>
      <c r="G19" s="3" t="s">
        <v>36</v>
      </c>
      <c r="H19" s="3" t="s">
        <v>37</v>
      </c>
      <c r="I19" s="3" t="s">
        <v>277</v>
      </c>
      <c r="J19" s="3" t="s">
        <v>180</v>
      </c>
      <c r="K19" s="3" t="s">
        <v>274</v>
      </c>
      <c r="L19" s="3" t="s">
        <v>296</v>
      </c>
    </row>
    <row r="20" spans="1:12" ht="80" x14ac:dyDescent="0.2">
      <c r="A20" s="3" t="s">
        <v>40</v>
      </c>
      <c r="B20" s="3" t="s">
        <v>179</v>
      </c>
      <c r="C20" s="3" t="s">
        <v>41</v>
      </c>
      <c r="D20" s="3" t="s">
        <v>42</v>
      </c>
      <c r="E20" s="3" t="str">
        <f t="shared" si="0"/>
        <v>12</v>
      </c>
      <c r="G20" s="3" t="s">
        <v>38</v>
      </c>
      <c r="H20" s="3" t="s">
        <v>39</v>
      </c>
      <c r="I20" s="3" t="s">
        <v>235</v>
      </c>
      <c r="J20" s="3" t="s">
        <v>180</v>
      </c>
      <c r="K20" s="3" t="s">
        <v>282</v>
      </c>
      <c r="L20" s="3" t="s">
        <v>307</v>
      </c>
    </row>
    <row r="21" spans="1:12" ht="96" x14ac:dyDescent="0.2">
      <c r="A21" s="3" t="s">
        <v>253</v>
      </c>
      <c r="B21" s="3" t="s">
        <v>181</v>
      </c>
      <c r="C21" s="3" t="s">
        <v>41</v>
      </c>
      <c r="D21" s="3" t="s">
        <v>42</v>
      </c>
      <c r="E21" s="3" t="str">
        <f t="shared" si="0"/>
        <v>13</v>
      </c>
      <c r="G21" s="3" t="s">
        <v>43</v>
      </c>
      <c r="H21" s="3" t="s">
        <v>44</v>
      </c>
      <c r="I21" s="3" t="s">
        <v>279</v>
      </c>
      <c r="J21" s="3" t="s">
        <v>180</v>
      </c>
      <c r="K21" s="3" t="s">
        <v>278</v>
      </c>
      <c r="L21" s="3" t="s">
        <v>297</v>
      </c>
    </row>
    <row r="22" spans="1:12" ht="64" x14ac:dyDescent="0.2">
      <c r="A22" s="3" t="s">
        <v>45</v>
      </c>
      <c r="B22" s="3" t="s">
        <v>189</v>
      </c>
      <c r="C22" s="3" t="s">
        <v>41</v>
      </c>
      <c r="D22" s="3" t="s">
        <v>42</v>
      </c>
      <c r="E22" s="3" t="str">
        <f t="shared" si="0"/>
        <v>14</v>
      </c>
      <c r="G22" s="3" t="s">
        <v>46</v>
      </c>
      <c r="H22" s="3" t="s">
        <v>47</v>
      </c>
      <c r="I22" s="3" t="s">
        <v>237</v>
      </c>
      <c r="J22" s="3" t="s">
        <v>190</v>
      </c>
      <c r="K22" s="3" t="s">
        <v>191</v>
      </c>
      <c r="L22" s="3" t="s">
        <v>298</v>
      </c>
    </row>
    <row r="23" spans="1:12" ht="128" x14ac:dyDescent="0.2">
      <c r="A23" s="3" t="s">
        <v>48</v>
      </c>
      <c r="B23" s="3" t="s">
        <v>193</v>
      </c>
      <c r="C23" s="3" t="s">
        <v>49</v>
      </c>
      <c r="D23" s="3" t="s">
        <v>50</v>
      </c>
      <c r="E23" s="3" t="str">
        <f t="shared" si="0"/>
        <v>15</v>
      </c>
      <c r="G23" s="3" t="s">
        <v>51</v>
      </c>
      <c r="H23" s="3" t="s">
        <v>52</v>
      </c>
      <c r="I23" s="3" t="s">
        <v>236</v>
      </c>
      <c r="J23" s="3" t="s">
        <v>192</v>
      </c>
      <c r="K23" s="3" t="s">
        <v>311</v>
      </c>
      <c r="L23" s="3" t="s">
        <v>299</v>
      </c>
    </row>
    <row r="24" spans="1:12" ht="64" x14ac:dyDescent="0.2">
      <c r="A24" s="3" t="s">
        <v>56</v>
      </c>
      <c r="B24" s="3" t="s">
        <v>194</v>
      </c>
      <c r="C24" s="3" t="s">
        <v>49</v>
      </c>
      <c r="D24" s="3" t="s">
        <v>50</v>
      </c>
      <c r="E24" s="3" t="str">
        <f t="shared" si="0"/>
        <v>16</v>
      </c>
      <c r="G24" s="3" t="s">
        <v>53</v>
      </c>
      <c r="H24" s="3" t="s">
        <v>54</v>
      </c>
      <c r="I24" s="3" t="s">
        <v>238</v>
      </c>
      <c r="J24" s="3" t="s">
        <v>165</v>
      </c>
      <c r="K24" s="3" t="s">
        <v>55</v>
      </c>
      <c r="L24" s="3" t="s">
        <v>300</v>
      </c>
    </row>
    <row r="25" spans="1:12" ht="32" x14ac:dyDescent="0.2">
      <c r="A25" s="3" t="s">
        <v>56</v>
      </c>
      <c r="B25" s="3" t="s">
        <v>195</v>
      </c>
      <c r="C25" s="3" t="s">
        <v>49</v>
      </c>
      <c r="D25" s="3" t="s">
        <v>50</v>
      </c>
      <c r="E25" s="3" t="str">
        <f t="shared" si="0"/>
        <v>17</v>
      </c>
      <c r="G25" s="3" t="s">
        <v>57</v>
      </c>
      <c r="H25" s="3" t="s">
        <v>58</v>
      </c>
      <c r="I25" s="3" t="s">
        <v>239</v>
      </c>
      <c r="J25" s="3" t="s">
        <v>196</v>
      </c>
      <c r="K25" s="3" t="s">
        <v>240</v>
      </c>
      <c r="L25" s="3" t="s">
        <v>301</v>
      </c>
    </row>
    <row r="26" spans="1:12" ht="48" x14ac:dyDescent="0.2">
      <c r="A26" s="3" t="s">
        <v>56</v>
      </c>
      <c r="B26" s="3" t="s">
        <v>243</v>
      </c>
      <c r="C26" s="3">
        <v>3</v>
      </c>
      <c r="D26" s="3" t="s">
        <v>50</v>
      </c>
      <c r="E26" s="3" t="str">
        <f t="shared" si="0"/>
        <v>18</v>
      </c>
      <c r="F26" s="4"/>
      <c r="G26" s="3" t="s">
        <v>242</v>
      </c>
      <c r="H26" s="3" t="s">
        <v>241</v>
      </c>
      <c r="I26" s="3" t="s">
        <v>244</v>
      </c>
      <c r="J26" s="3" t="s">
        <v>245</v>
      </c>
      <c r="K26" s="3" t="s">
        <v>246</v>
      </c>
      <c r="L26" s="3" t="s">
        <v>302</v>
      </c>
    </row>
    <row r="27" spans="1:12" ht="80" x14ac:dyDescent="0.2">
      <c r="A27" s="3" t="s">
        <v>59</v>
      </c>
      <c r="B27" s="3" t="s">
        <v>197</v>
      </c>
      <c r="C27" s="3" t="s">
        <v>49</v>
      </c>
      <c r="D27" s="3" t="s">
        <v>60</v>
      </c>
      <c r="E27" s="3" t="str">
        <f t="shared" si="0"/>
        <v>19</v>
      </c>
      <c r="G27" s="3" t="s">
        <v>61</v>
      </c>
      <c r="H27" s="3" t="s">
        <v>62</v>
      </c>
      <c r="I27" s="3" t="s">
        <v>280</v>
      </c>
      <c r="J27" s="3" t="s">
        <v>281</v>
      </c>
      <c r="K27" s="3" t="s">
        <v>63</v>
      </c>
      <c r="L27" s="3" t="s">
        <v>303</v>
      </c>
    </row>
    <row r="28" spans="1:12" ht="80" x14ac:dyDescent="0.2">
      <c r="A28" s="3" t="s">
        <v>64</v>
      </c>
      <c r="B28" s="3" t="s">
        <v>198</v>
      </c>
      <c r="C28" s="3" t="s">
        <v>7</v>
      </c>
      <c r="D28" s="3" t="s">
        <v>7</v>
      </c>
      <c r="E28" s="3" t="str">
        <f t="shared" si="0"/>
        <v>1A</v>
      </c>
      <c r="G28" s="3" t="s">
        <v>65</v>
      </c>
      <c r="H28" s="3" t="s">
        <v>66</v>
      </c>
      <c r="I28" s="3" t="s">
        <v>247</v>
      </c>
      <c r="J28" s="3" t="s">
        <v>199</v>
      </c>
      <c r="K28" s="3" t="s">
        <v>67</v>
      </c>
      <c r="L28" s="3" t="s">
        <v>304</v>
      </c>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7"/>
  <sheetViews>
    <sheetView zoomScale="130" zoomScaleNormal="130" workbookViewId="0">
      <selection activeCell="D1" sqref="D1"/>
    </sheetView>
  </sheetViews>
  <sheetFormatPr baseColWidth="10" defaultColWidth="8.83203125" defaultRowHeight="15" x14ac:dyDescent="0.2"/>
  <cols>
    <col min="1" max="1" width="16.83203125" bestFit="1" customWidth="1"/>
    <col min="2" max="2" width="12.1640625" bestFit="1" customWidth="1"/>
    <col min="3" max="3" width="18.83203125" bestFit="1" customWidth="1"/>
    <col min="4" max="4" width="16" bestFit="1" customWidth="1"/>
    <col min="5" max="5" width="29.6640625" bestFit="1" customWidth="1"/>
    <col min="6" max="6" width="3.5" bestFit="1" customWidth="1"/>
    <col min="7" max="7" width="7.5" bestFit="1" customWidth="1"/>
    <col min="8" max="8" width="6.5" bestFit="1" customWidth="1"/>
    <col min="9" max="9" width="16.83203125" bestFit="1" customWidth="1"/>
    <col min="10" max="10" width="35.5" bestFit="1" customWidth="1"/>
  </cols>
  <sheetData>
    <row r="1" spans="1:10" x14ac:dyDescent="0.2">
      <c r="A1" s="1" t="s">
        <v>79</v>
      </c>
      <c r="B1" s="1" t="s">
        <v>80</v>
      </c>
      <c r="C1" s="1" t="s">
        <v>81</v>
      </c>
      <c r="D1" s="1" t="s">
        <v>82</v>
      </c>
      <c r="E1" s="1" t="s">
        <v>83</v>
      </c>
      <c r="F1" s="1" t="s">
        <v>84</v>
      </c>
      <c r="G1" s="1" t="s">
        <v>85</v>
      </c>
      <c r="H1" s="1" t="s">
        <v>86</v>
      </c>
      <c r="I1" s="1" t="s">
        <v>87</v>
      </c>
      <c r="J1" s="1" t="s">
        <v>88</v>
      </c>
    </row>
    <row r="2" spans="1:10" x14ac:dyDescent="0.2">
      <c r="A2" t="s">
        <v>89</v>
      </c>
      <c r="B2" t="s">
        <v>90</v>
      </c>
      <c r="C2" t="s">
        <v>91</v>
      </c>
      <c r="D2" t="s">
        <v>92</v>
      </c>
      <c r="E2" t="s">
        <v>93</v>
      </c>
      <c r="F2" t="s">
        <v>49</v>
      </c>
      <c r="G2" t="s">
        <v>73</v>
      </c>
      <c r="H2" t="s">
        <v>94</v>
      </c>
      <c r="I2" t="s">
        <v>78</v>
      </c>
      <c r="J2" t="s">
        <v>73</v>
      </c>
    </row>
    <row r="3" spans="1:10" x14ac:dyDescent="0.2">
      <c r="A3" t="s">
        <v>95</v>
      </c>
      <c r="C3" t="s">
        <v>96</v>
      </c>
      <c r="D3" t="s">
        <v>97</v>
      </c>
      <c r="E3" t="s">
        <v>93</v>
      </c>
      <c r="F3" t="s">
        <v>94</v>
      </c>
      <c r="G3" t="s">
        <v>94</v>
      </c>
      <c r="H3" t="s">
        <v>94</v>
      </c>
      <c r="I3" t="s">
        <v>77</v>
      </c>
      <c r="J3" t="s">
        <v>94</v>
      </c>
    </row>
    <row r="4" spans="1:10" x14ac:dyDescent="0.2">
      <c r="A4" t="s">
        <v>89</v>
      </c>
      <c r="B4" t="s">
        <v>90</v>
      </c>
      <c r="C4" t="s">
        <v>98</v>
      </c>
      <c r="D4" t="s">
        <v>99</v>
      </c>
      <c r="E4" t="s">
        <v>93</v>
      </c>
      <c r="F4" t="s">
        <v>49</v>
      </c>
      <c r="G4" t="s">
        <v>94</v>
      </c>
      <c r="H4" t="s">
        <v>94</v>
      </c>
      <c r="I4" t="s">
        <v>76</v>
      </c>
      <c r="J4" t="s">
        <v>100</v>
      </c>
    </row>
    <row r="5" spans="1:10" x14ac:dyDescent="0.2">
      <c r="A5" t="s">
        <v>89</v>
      </c>
      <c r="B5" t="s">
        <v>101</v>
      </c>
      <c r="C5" t="s">
        <v>102</v>
      </c>
      <c r="D5" t="s">
        <v>103</v>
      </c>
      <c r="E5" t="s">
        <v>93</v>
      </c>
      <c r="F5" t="s">
        <v>49</v>
      </c>
      <c r="G5" t="s">
        <v>73</v>
      </c>
      <c r="H5" t="s">
        <v>73</v>
      </c>
      <c r="I5" t="s">
        <v>76</v>
      </c>
      <c r="J5" t="s">
        <v>104</v>
      </c>
    </row>
    <row r="6" spans="1:10" x14ac:dyDescent="0.2">
      <c r="A6" t="s">
        <v>89</v>
      </c>
      <c r="B6" t="s">
        <v>90</v>
      </c>
      <c r="C6" t="s">
        <v>105</v>
      </c>
      <c r="D6" t="s">
        <v>106</v>
      </c>
      <c r="E6" t="s">
        <v>93</v>
      </c>
      <c r="F6" t="s">
        <v>49</v>
      </c>
      <c r="G6" t="s">
        <v>73</v>
      </c>
      <c r="H6" t="s">
        <v>94</v>
      </c>
      <c r="I6" t="s">
        <v>75</v>
      </c>
      <c r="J6" t="s">
        <v>73</v>
      </c>
    </row>
    <row r="7" spans="1:10" x14ac:dyDescent="0.2">
      <c r="A7" t="s">
        <v>89</v>
      </c>
      <c r="B7" t="s">
        <v>107</v>
      </c>
      <c r="C7" t="s">
        <v>108</v>
      </c>
      <c r="D7" t="s">
        <v>109</v>
      </c>
      <c r="E7" t="s">
        <v>93</v>
      </c>
      <c r="F7" t="s">
        <v>49</v>
      </c>
      <c r="G7" t="s">
        <v>49</v>
      </c>
      <c r="H7" t="s">
        <v>94</v>
      </c>
      <c r="I7" t="s">
        <v>75</v>
      </c>
      <c r="J7" t="s">
        <v>104</v>
      </c>
    </row>
    <row r="8" spans="1:10" x14ac:dyDescent="0.2">
      <c r="A8" t="s">
        <v>89</v>
      </c>
      <c r="B8" t="s">
        <v>101</v>
      </c>
      <c r="C8" t="s">
        <v>110</v>
      </c>
      <c r="D8" t="s">
        <v>111</v>
      </c>
      <c r="E8" t="s">
        <v>93</v>
      </c>
      <c r="F8" t="s">
        <v>49</v>
      </c>
      <c r="G8" t="s">
        <v>49</v>
      </c>
      <c r="H8" t="s">
        <v>94</v>
      </c>
      <c r="I8" t="s">
        <v>74</v>
      </c>
      <c r="J8" t="s">
        <v>104</v>
      </c>
    </row>
    <row r="9" spans="1:10" x14ac:dyDescent="0.2">
      <c r="A9" t="s">
        <v>89</v>
      </c>
      <c r="B9" t="s">
        <v>101</v>
      </c>
      <c r="C9" t="s">
        <v>112</v>
      </c>
      <c r="D9" t="s">
        <v>113</v>
      </c>
      <c r="E9" t="s">
        <v>93</v>
      </c>
      <c r="F9" t="s">
        <v>49</v>
      </c>
      <c r="G9" t="s">
        <v>72</v>
      </c>
      <c r="H9" t="s">
        <v>94</v>
      </c>
      <c r="I9" t="s">
        <v>94</v>
      </c>
      <c r="J9" t="s">
        <v>114</v>
      </c>
    </row>
    <row r="10" spans="1:10" x14ac:dyDescent="0.2">
      <c r="A10" t="s">
        <v>115</v>
      </c>
      <c r="B10" t="s">
        <v>116</v>
      </c>
      <c r="C10" t="s">
        <v>117</v>
      </c>
      <c r="D10" t="s">
        <v>118</v>
      </c>
      <c r="E10" t="s">
        <v>93</v>
      </c>
      <c r="F10" t="s">
        <v>73</v>
      </c>
      <c r="G10" t="s">
        <v>73</v>
      </c>
      <c r="H10" t="s">
        <v>94</v>
      </c>
      <c r="I10" t="s">
        <v>73</v>
      </c>
      <c r="J10" t="s">
        <v>100</v>
      </c>
    </row>
    <row r="11" spans="1:10" x14ac:dyDescent="0.2">
      <c r="A11" t="s">
        <v>95</v>
      </c>
      <c r="C11" t="s">
        <v>119</v>
      </c>
      <c r="D11" t="s">
        <v>120</v>
      </c>
      <c r="E11" t="s">
        <v>93</v>
      </c>
      <c r="F11" t="s">
        <v>49</v>
      </c>
      <c r="G11" t="s">
        <v>73</v>
      </c>
      <c r="H11" t="s">
        <v>49</v>
      </c>
      <c r="I11" t="s">
        <v>49</v>
      </c>
      <c r="J11" t="s">
        <v>114</v>
      </c>
    </row>
    <row r="12" spans="1:10" x14ac:dyDescent="0.2">
      <c r="A12" t="s">
        <v>121</v>
      </c>
      <c r="B12" t="s">
        <v>122</v>
      </c>
      <c r="C12" t="s">
        <v>123</v>
      </c>
      <c r="D12" t="s">
        <v>124</v>
      </c>
      <c r="E12" t="s">
        <v>93</v>
      </c>
      <c r="F12" t="s">
        <v>73</v>
      </c>
      <c r="G12" t="s">
        <v>73</v>
      </c>
      <c r="H12" t="s">
        <v>73</v>
      </c>
      <c r="I12" t="s">
        <v>49</v>
      </c>
      <c r="J12" t="s">
        <v>73</v>
      </c>
    </row>
    <row r="13" spans="1:10" x14ac:dyDescent="0.2">
      <c r="A13" t="s">
        <v>95</v>
      </c>
      <c r="C13" t="s">
        <v>125</v>
      </c>
      <c r="D13" t="s">
        <v>126</v>
      </c>
      <c r="E13" t="s">
        <v>93</v>
      </c>
      <c r="F13" t="s">
        <v>49</v>
      </c>
      <c r="G13" t="s">
        <v>49</v>
      </c>
      <c r="H13" t="s">
        <v>72</v>
      </c>
      <c r="I13" t="s">
        <v>72</v>
      </c>
      <c r="J13" t="s">
        <v>127</v>
      </c>
    </row>
    <row r="14" spans="1:10" x14ac:dyDescent="0.2">
      <c r="A14" t="s">
        <v>115</v>
      </c>
      <c r="B14" t="s">
        <v>116</v>
      </c>
      <c r="C14" t="s">
        <v>128</v>
      </c>
      <c r="D14" t="s">
        <v>129</v>
      </c>
      <c r="E14" t="s">
        <v>130</v>
      </c>
      <c r="F14" t="s">
        <v>73</v>
      </c>
      <c r="G14" t="s">
        <v>73</v>
      </c>
      <c r="H14" t="s">
        <v>94</v>
      </c>
      <c r="I14" t="s">
        <v>72</v>
      </c>
      <c r="J14" t="s">
        <v>100</v>
      </c>
    </row>
    <row r="15" spans="1:10" x14ac:dyDescent="0.2">
      <c r="A15" t="s">
        <v>115</v>
      </c>
      <c r="B15" t="s">
        <v>131</v>
      </c>
      <c r="C15" t="s">
        <v>132</v>
      </c>
      <c r="D15" t="s">
        <v>11</v>
      </c>
      <c r="E15" t="s">
        <v>93</v>
      </c>
      <c r="F15" t="s">
        <v>73</v>
      </c>
      <c r="G15" t="s">
        <v>73</v>
      </c>
      <c r="H15" t="s">
        <v>94</v>
      </c>
      <c r="I15" t="s">
        <v>72</v>
      </c>
      <c r="J15" t="s">
        <v>100</v>
      </c>
    </row>
    <row r="16" spans="1:10" x14ac:dyDescent="0.2">
      <c r="A16" t="s">
        <v>121</v>
      </c>
      <c r="B16" t="s">
        <v>122</v>
      </c>
      <c r="C16" t="s">
        <v>133</v>
      </c>
      <c r="D16" t="s">
        <v>134</v>
      </c>
      <c r="E16" t="s">
        <v>93</v>
      </c>
      <c r="F16" t="s">
        <v>73</v>
      </c>
      <c r="G16" t="s">
        <v>49</v>
      </c>
      <c r="H16" t="s">
        <v>73</v>
      </c>
      <c r="I16" t="s">
        <v>72</v>
      </c>
      <c r="J16" t="s">
        <v>104</v>
      </c>
    </row>
    <row r="17" spans="1:10" x14ac:dyDescent="0.2">
      <c r="A17" t="s">
        <v>121</v>
      </c>
      <c r="B17" t="s">
        <v>135</v>
      </c>
      <c r="C17" t="s">
        <v>136</v>
      </c>
      <c r="D17" t="s">
        <v>137</v>
      </c>
      <c r="E17" t="s">
        <v>138</v>
      </c>
      <c r="F17" t="s">
        <v>73</v>
      </c>
      <c r="G17" t="s">
        <v>49</v>
      </c>
      <c r="H17" t="s">
        <v>73</v>
      </c>
      <c r="I17" t="s">
        <v>72</v>
      </c>
      <c r="J17" t="s">
        <v>104</v>
      </c>
    </row>
    <row r="18" spans="1:10" x14ac:dyDescent="0.2">
      <c r="A18" t="s">
        <v>121</v>
      </c>
      <c r="B18" t="s">
        <v>135</v>
      </c>
      <c r="C18" t="s">
        <v>139</v>
      </c>
      <c r="D18" t="s">
        <v>140</v>
      </c>
      <c r="E18" t="s">
        <v>138</v>
      </c>
      <c r="F18" t="s">
        <v>73</v>
      </c>
      <c r="G18" t="s">
        <v>49</v>
      </c>
      <c r="H18" t="s">
        <v>73</v>
      </c>
      <c r="I18" t="s">
        <v>72</v>
      </c>
      <c r="J18" t="s">
        <v>104</v>
      </c>
    </row>
    <row r="19" spans="1:10" x14ac:dyDescent="0.2">
      <c r="A19" t="s">
        <v>121</v>
      </c>
      <c r="B19" t="s">
        <v>141</v>
      </c>
      <c r="C19" t="s">
        <v>142</v>
      </c>
      <c r="D19" t="s">
        <v>94</v>
      </c>
      <c r="E19" t="s">
        <v>93</v>
      </c>
      <c r="F19" t="s">
        <v>73</v>
      </c>
      <c r="G19" t="s">
        <v>73</v>
      </c>
      <c r="H19" t="s">
        <v>73</v>
      </c>
      <c r="I19" t="s">
        <v>11</v>
      </c>
      <c r="J19" t="s">
        <v>73</v>
      </c>
    </row>
    <row r="20" spans="1:10" x14ac:dyDescent="0.2">
      <c r="A20" t="s">
        <v>121</v>
      </c>
      <c r="B20" t="s">
        <v>135</v>
      </c>
      <c r="C20" t="s">
        <v>143</v>
      </c>
      <c r="D20" t="s">
        <v>144</v>
      </c>
      <c r="E20" t="s">
        <v>145</v>
      </c>
      <c r="F20" t="s">
        <v>73</v>
      </c>
      <c r="G20" t="s">
        <v>73</v>
      </c>
      <c r="H20" t="s">
        <v>73</v>
      </c>
      <c r="I20" t="s">
        <v>11</v>
      </c>
      <c r="J20" t="s">
        <v>73</v>
      </c>
    </row>
    <row r="21" spans="1:10" x14ac:dyDescent="0.2">
      <c r="A21" t="s">
        <v>121</v>
      </c>
      <c r="B21" t="s">
        <v>135</v>
      </c>
      <c r="C21" t="s">
        <v>146</v>
      </c>
      <c r="D21" t="s">
        <v>147</v>
      </c>
      <c r="E21" t="s">
        <v>145</v>
      </c>
      <c r="F21" t="s">
        <v>73</v>
      </c>
      <c r="G21" t="s">
        <v>73</v>
      </c>
      <c r="H21" t="s">
        <v>73</v>
      </c>
      <c r="I21" t="s">
        <v>11</v>
      </c>
      <c r="J21" t="s">
        <v>73</v>
      </c>
    </row>
    <row r="22" spans="1:10" x14ac:dyDescent="0.2">
      <c r="A22" t="s">
        <v>148</v>
      </c>
      <c r="C22" t="s">
        <v>149</v>
      </c>
      <c r="D22" t="s">
        <v>150</v>
      </c>
      <c r="E22" t="s">
        <v>151</v>
      </c>
      <c r="F22" t="s">
        <v>49</v>
      </c>
      <c r="G22" t="s">
        <v>49</v>
      </c>
      <c r="H22" t="s">
        <v>72</v>
      </c>
      <c r="I22" t="s">
        <v>152</v>
      </c>
      <c r="J22" t="s">
        <v>127</v>
      </c>
    </row>
    <row r="23" spans="1:10" x14ac:dyDescent="0.2">
      <c r="A23" t="s">
        <v>148</v>
      </c>
      <c r="C23" t="s">
        <v>153</v>
      </c>
      <c r="D23" t="s">
        <v>154</v>
      </c>
      <c r="E23" t="s">
        <v>93</v>
      </c>
      <c r="F23" t="s">
        <v>49</v>
      </c>
      <c r="G23" t="s">
        <v>49</v>
      </c>
      <c r="H23" t="s">
        <v>72</v>
      </c>
      <c r="I23" t="s">
        <v>152</v>
      </c>
      <c r="J23" t="s">
        <v>127</v>
      </c>
    </row>
    <row r="24" spans="1:10" x14ac:dyDescent="0.2">
      <c r="A24" t="s">
        <v>121</v>
      </c>
      <c r="B24" t="s">
        <v>141</v>
      </c>
      <c r="C24" t="s">
        <v>155</v>
      </c>
      <c r="D24" t="s">
        <v>156</v>
      </c>
      <c r="E24" t="s">
        <v>138</v>
      </c>
      <c r="F24" t="s">
        <v>73</v>
      </c>
      <c r="G24" t="s">
        <v>72</v>
      </c>
      <c r="H24" t="s">
        <v>73</v>
      </c>
      <c r="I24" t="s">
        <v>109</v>
      </c>
      <c r="J24" t="s">
        <v>114</v>
      </c>
    </row>
    <row r="25" spans="1:10" x14ac:dyDescent="0.2">
      <c r="A25" t="s">
        <v>121</v>
      </c>
      <c r="B25" t="s">
        <v>141</v>
      </c>
      <c r="C25" t="s">
        <v>157</v>
      </c>
      <c r="D25" t="s">
        <v>158</v>
      </c>
      <c r="E25" t="s">
        <v>93</v>
      </c>
      <c r="F25" t="s">
        <v>73</v>
      </c>
      <c r="G25" t="s">
        <v>49</v>
      </c>
      <c r="H25" t="s">
        <v>73</v>
      </c>
      <c r="I25" t="s">
        <v>92</v>
      </c>
      <c r="J25" t="s">
        <v>104</v>
      </c>
    </row>
    <row r="26" spans="1:10" x14ac:dyDescent="0.2">
      <c r="A26" t="s">
        <v>121</v>
      </c>
      <c r="B26" t="s">
        <v>141</v>
      </c>
      <c r="C26" t="s">
        <v>159</v>
      </c>
      <c r="D26" t="s">
        <v>160</v>
      </c>
      <c r="E26" t="s">
        <v>138</v>
      </c>
      <c r="F26" t="s">
        <v>73</v>
      </c>
      <c r="G26" t="s">
        <v>11</v>
      </c>
      <c r="H26" t="s">
        <v>73</v>
      </c>
      <c r="I26" t="s">
        <v>92</v>
      </c>
      <c r="J26" t="s">
        <v>49</v>
      </c>
    </row>
    <row r="27" spans="1:10" x14ac:dyDescent="0.2">
      <c r="A27" t="s">
        <v>148</v>
      </c>
      <c r="C27" t="s">
        <v>161</v>
      </c>
      <c r="D27" t="s">
        <v>11</v>
      </c>
      <c r="E27" t="s">
        <v>93</v>
      </c>
      <c r="F27" t="s">
        <v>72</v>
      </c>
      <c r="G27" t="s">
        <v>72</v>
      </c>
      <c r="H27" t="s">
        <v>11</v>
      </c>
      <c r="I27" t="s">
        <v>92</v>
      </c>
      <c r="J27" t="s">
        <v>162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outline_v2</vt:lpstr>
      <vt:lpstr>food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Pfeiffer</cp:lastModifiedBy>
  <dcterms:created xsi:type="dcterms:W3CDTF">2026-01-20T19:03:40Z</dcterms:created>
  <dcterms:modified xsi:type="dcterms:W3CDTF">2026-03-16T23:27:08Z</dcterms:modified>
</cp:coreProperties>
</file>